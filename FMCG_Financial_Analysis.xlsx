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Financials" sheetId="2" state="visible" r:id="rId4"/>
    <sheet name="Ratios" sheetId="3" state="visible" r:id="rId5"/>
    <sheet name="Comparison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Source: https://www.screener.in/company/HINDUNILVR/consolidated/ (Profit &amp; Loss, annual)</t>
        </r>
      </text>
    </comment>
    <comment ref="B44" authorId="0">
      <text>
        <r>
          <rPr>
            <sz val="10"/>
            <rFont val="Arial"/>
            <family val="2"/>
          </rPr>
          <t xml:space="preserve">Source: https://www.screener.in/company/ITC/consolidated/ (Profit &amp; Loss, annual)</t>
        </r>
      </text>
    </comment>
    <comment ref="B82" authorId="0">
      <text>
        <r>
          <rPr>
            <sz val="10"/>
            <rFont val="Arial"/>
            <family val="2"/>
          </rPr>
          <t xml:space="preserve">Source: https://www.screener.in/company/DABUR/consolidated/ (Profit &amp; Loss, annual)</t>
        </r>
      </text>
    </comment>
    <comment ref="B120" authorId="0">
      <text>
        <r>
          <rPr>
            <sz val="10"/>
            <rFont val="Arial"/>
            <family val="2"/>
          </rPr>
          <t xml:space="preserve">Source: https://www.screener.in/company/BRITANNIA/consolidated/ (Profit &amp; Loss, annual)</t>
        </r>
      </text>
    </comment>
    <comment ref="B158" authorId="0">
      <text>
        <r>
          <rPr>
            <sz val="10"/>
            <rFont val="Arial"/>
            <family val="2"/>
          </rPr>
          <t xml:space="preserve">Source: https://www.screener.in/company/MARICO/consolidated/ (Profit &amp; Loss, annual)</t>
        </r>
      </text>
    </comment>
  </commentList>
</comments>
</file>

<file path=xl/sharedStrings.xml><?xml version="1.0" encoding="utf-8"?>
<sst xmlns="http://schemas.openxmlformats.org/spreadsheetml/2006/main" count="1034" uniqueCount="147">
  <si>
    <t xml:space="preserve">Indian FMCG Financial Statement &amp; Ratio Analysis (FY21–FY26)</t>
  </si>
  <si>
    <t xml:space="preserve">Purpose</t>
  </si>
  <si>
    <t xml:space="preserve">Compare the financial performance of 5 listed Indian FMCG companies over 5 years using ratio and DuPont analysis.</t>
  </si>
  <si>
    <t xml:space="preserve">Companies</t>
  </si>
  <si>
    <t xml:space="preserve">HUL: Hindustan Unilever Ltd</t>
  </si>
  <si>
    <t xml:space="preserve">ITC: ITC Ltd</t>
  </si>
  <si>
    <t xml:space="preserve">Dabur: Dabur India Ltd</t>
  </si>
  <si>
    <t xml:space="preserve">Britannia: Britannia Industries Ltd</t>
  </si>
  <si>
    <t xml:space="preserve">Marico: Marico Ltd</t>
  </si>
  <si>
    <t xml:space="preserve">Data source</t>
  </si>
  <si>
    <t xml:space="preserve">Consolidated annual financials from Screener.in (compiled from company filings), retrieved 26 Sep 2026. Figures in ₹ crore. Fiscal years end 31 March (FY26 = Apr 2025–Mar 2026).</t>
  </si>
  <si>
    <t xml:space="preserve">HUL: https://www.screener.in/company/HINDUNILVR/consolidated/</t>
  </si>
  <si>
    <t xml:space="preserve">ITC: https://www.screener.in/company/ITC/consolidated/</t>
  </si>
  <si>
    <t xml:space="preserve">Dabur: https://www.screener.in/company/DABUR/consolidated/</t>
  </si>
  <si>
    <t xml:space="preserve">Britannia: https://www.screener.in/company/BRITANNIA/consolidated/</t>
  </si>
  <si>
    <t xml:space="preserve">Marico: https://www.screener.in/company/MARICO/consolidated/</t>
  </si>
  <si>
    <t xml:space="preserve">Colour legend</t>
  </si>
  <si>
    <t xml:space="preserve">Blue text = hardcoded input from source data</t>
  </si>
  <si>
    <t xml:space="preserve">Black text = formula</t>
  </si>
  <si>
    <t xml:space="preserve">Green text = link to another sheet</t>
  </si>
  <si>
    <t xml:space="preserve">Method notes</t>
  </si>
  <si>
    <t xml:space="preserve">Return ratios (ROE, ROCE, ROA) and asset turnover use the average of opening and closing balances, so they start in FY22.</t>
  </si>
  <si>
    <t xml:space="preserve">Shareholders' equity = Equity capital + Reserves. Capital employed = Equity + Borrowings. EBIT = Profit before tax + Interest.</t>
  </si>
  <si>
    <t xml:space="preserve">Debtor, inventory and payable days are taken as reported by Screener.in (blue inputs); the cash conversion cycle is calculated from them.</t>
  </si>
  <si>
    <t xml:space="preserve">Current ratio is not included: the source balance sheet does not split current and non-current items.</t>
  </si>
  <si>
    <t xml:space="preserve">Balance check row in Financials should be close to 0; differences of ±1–2 come from rounding in the source.</t>
  </si>
  <si>
    <t xml:space="preserve">One-off items to be aware of</t>
  </si>
  <si>
    <t xml:space="preserve">ITC FY25: Other income of ₹17,803 cr includes a large one-off gain linked to the ITC Hotels demerger (Jan 2025), which inflates FY25 net profit, ROE and EPS.</t>
  </si>
  <si>
    <t xml:space="preserve">HUL FY26: Other income jumped to ₹4,923 cr (from ₹1,355 cr) and the tax rate fell to 17%, lifting net profit 41%. Treat as largely one-off; verify in the FY26 annual report.</t>
  </si>
  <si>
    <t xml:space="preserve">HUL FY25: Sales fell 0.9% while peers grew. Part of this may be how the demerged ice cream business is reported; check the FY25 and FY26 annual reports before drawing conclusions.</t>
  </si>
  <si>
    <t xml:space="preserve">HUL: About ₹45,000+ cr of goodwill and brands from the 2020 GSK Consumer merger sits in fixed assets and equity, which lowers HUL's ROE, ROA and asset turnover versus peers.</t>
  </si>
  <si>
    <t xml:space="preserve">Why not Nestlé India?</t>
  </si>
  <si>
    <t xml:space="preserve">Nestlé India moved from a December to a March year-end, with a 15-month transition period, so its years are not comparable with the others. Marico was used instead.</t>
  </si>
  <si>
    <t xml:space="preserve">Disclaimer</t>
  </si>
  <si>
    <t xml:space="preserve">Educational portfolio project. Not investment advice.</t>
  </si>
  <si>
    <t xml:space="preserve">Financial Statements (₹ crore, consolidated)</t>
  </si>
  <si>
    <t xml:space="preserve">Source: Screener.in consolidated annual data, retrieved 26 Sep 2026. See Notes sheet for links.</t>
  </si>
  <si>
    <t xml:space="preserve">HUL</t>
  </si>
  <si>
    <t xml:space="preserve">Line Item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</si>
  <si>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</si>
  <si>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</si>
  <si>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</si>
  <si>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</si>
  <si>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</si>
  <si>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</si>
  <si>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Income Statement</t>
  </si>
  <si>
    <t xml:space="preserve">Sales</t>
  </si>
  <si>
    <t xml:space="preserve">Expenses</t>
  </si>
  <si>
    <t xml:space="preserve">Operating Profit (EBITDA)</t>
  </si>
  <si>
    <t xml:space="preserve">Other Income</t>
  </si>
  <si>
    <t xml:space="preserve">Interest</t>
  </si>
  <si>
    <t xml:space="preserve">Depreciation</t>
  </si>
  <si>
    <t xml:space="preserve">Profit Before Tax</t>
  </si>
  <si>
    <t xml:space="preserve">Net Profit</t>
  </si>
  <si>
    <t xml:space="preserve">EPS (₹)</t>
  </si>
  <si>
    <t xml:space="preserve">Dividend Payout %</t>
  </si>
  <si>
    <t xml:space="preserve">Balance Sheet</t>
  </si>
  <si>
    <t xml:space="preserve">Equity Capital</t>
  </si>
  <si>
    <t xml:space="preserve">Reserves</t>
  </si>
  <si>
    <t xml:space="preserve">Borrowings</t>
  </si>
  <si>
    <t xml:space="preserve">Other Liabilities</t>
  </si>
  <si>
    <t xml:space="preserve">Total Liabilities</t>
  </si>
  <si>
    <t xml:space="preserve">Fixed Assets (incl. goodwill)</t>
  </si>
  <si>
    <t xml:space="preserve">Capital Work in Progress</t>
  </si>
  <si>
    <t xml:space="preserve">Investments</t>
  </si>
  <si>
    <t xml:space="preserve">Other Assets</t>
  </si>
  <si>
    <t xml:space="preserve">Total Assets</t>
  </si>
  <si>
    <t xml:space="preserve">Cash Flow</t>
  </si>
  <si>
    <t xml:space="preserve">Cash from Operations (CFO)</t>
  </si>
  <si>
    <t xml:space="preserve">Cash from Investing</t>
  </si>
  <si>
    <t xml:space="preserve">Cash from Financing</t>
  </si>
  <si>
    <t xml:space="preserve">Free Cash Flow</t>
  </si>
  <si>
    <t xml:space="preserve">Working Capital Days (reported)</t>
  </si>
  <si>
    <t xml:space="preserve">Debtor Days</t>
  </si>
  <si>
    <t xml:space="preserve">Inventory Days</t>
  </si>
  <si>
    <t xml:space="preserve">Days Payable</t>
  </si>
  <si>
    <t xml:space="preserve">Derived (formulas)</t>
  </si>
  <si>
    <t xml:space="preserve">Shareholders' Equity</t>
  </si>
  <si>
    <t xml:space="preserve">EBIT (PBT + Interest)</t>
  </si>
  <si>
    <t xml:space="preserve">Capital Employed (Equity + Borrowings)</t>
  </si>
  <si>
    <t xml:space="preserve">Balance Check (Assets − Liabilities)</t>
  </si>
  <si>
    <t xml:space="preserve">ITC</t>
  </si>
  <si>
    <t xml:space="preserve">Dabur</t>
  </si>
  <si>
    <t xml:space="preserve">Britannia</t>
  </si>
  <si>
    <t xml:space="preserve">Marico</t>
  </si>
  <si>
    <t xml:space="preserve">Ratio Analysis</t>
  </si>
  <si>
    <t xml:space="preserve">All values are formulas linked to the Financials sheet. Averages use opening and closing balances.</t>
  </si>
  <si>
    <t xml:space="preserve">Ratio</t>
  </si>
  <si>
    <t xml:space="preserve">Formula</t>
  </si>
  <si>
    <t xml:space="preserve">5Y Avg (FY22–26)</t>
  </si>
  <si>
    <t xml:space="preserve">Growth</t>
  </si>
  <si>
    <t xml:space="preserve">Revenue Growth (YoY)</t>
  </si>
  <si>
    <t xml:space="preserve">Sales / previous year Sales − 1</t>
  </si>
  <si>
    <t xml:space="preserve">n/a</t>
  </si>
  <si>
    <t xml:space="preserve">Net Profit Growth (YoY)</t>
  </si>
  <si>
    <t xml:space="preserve">Net Profit / previous year Net Profit − 1</t>
  </si>
  <si>
    <t xml:space="preserve">Profitability</t>
  </si>
  <si>
    <t xml:space="preserve">Operating Margin (OPM)</t>
  </si>
  <si>
    <t xml:space="preserve">Operating Profit / Sales</t>
  </si>
  <si>
    <t xml:space="preserve">Net Profit Margin</t>
  </si>
  <si>
    <t xml:space="preserve">Net Profit / Sales</t>
  </si>
  <si>
    <t xml:space="preserve">Return on Equity (ROE)</t>
  </si>
  <si>
    <t xml:space="preserve">Net Profit / Average Shareholders' Equity</t>
  </si>
  <si>
    <t xml:space="preserve">Return on Capital Employed (ROCE)</t>
  </si>
  <si>
    <t xml:space="preserve">EBIT / Average Capital Employed</t>
  </si>
  <si>
    <t xml:space="preserve">Return on Assets (ROA)</t>
  </si>
  <si>
    <t xml:space="preserve">Net Profit / Average Total Assets</t>
  </si>
  <si>
    <t xml:space="preserve">Efficiency</t>
  </si>
  <si>
    <t xml:space="preserve">Asset Turnover</t>
  </si>
  <si>
    <t xml:space="preserve">Sales / Average Total Assets</t>
  </si>
  <si>
    <t xml:space="preserve">As reported</t>
  </si>
  <si>
    <t xml:space="preserve">Payable Days</t>
  </si>
  <si>
    <t xml:space="preserve">Cash Conversion Cycle (days)</t>
  </si>
  <si>
    <t xml:space="preserve">Debtor Days + Inventory Days − Payable Days</t>
  </si>
  <si>
    <t xml:space="preserve">Leverage &amp; Coverage</t>
  </si>
  <si>
    <t xml:space="preserve">Debt / Equity</t>
  </si>
  <si>
    <t xml:space="preserve">Borrowings / Shareholders' Equity (year-end)</t>
  </si>
  <si>
    <t xml:space="preserve">Interest Coverage</t>
  </si>
  <si>
    <t xml:space="preserve">EBIT / Interest</t>
  </si>
  <si>
    <t xml:space="preserve">Cash Flow &amp; Payout</t>
  </si>
  <si>
    <t xml:space="preserve">CFO / Net Profit (earnings quality)</t>
  </si>
  <si>
    <t xml:space="preserve">Cash from Operations / Net Profit</t>
  </si>
  <si>
    <t xml:space="preserve">Free Cash Flow Margin</t>
  </si>
  <si>
    <t xml:space="preserve">Free Cash Flow / Sales</t>
  </si>
  <si>
    <t xml:space="preserve">Dividend Payout</t>
  </si>
  <si>
    <t xml:space="preserve">DuPont Analysis of ROE</t>
  </si>
  <si>
    <t xml:space="preserve">× Asset Turnover</t>
  </si>
  <si>
    <t xml:space="preserve">× Equity Multiplier</t>
  </si>
  <si>
    <t xml:space="preserve">Average Total Assets / Average Equity</t>
  </si>
  <si>
    <t xml:space="preserve">ROE (DuPont product)</t>
  </si>
  <si>
    <t xml:space="preserve">Product of the three components; should equal ROE above</t>
  </si>
  <si>
    <t xml:space="preserve">Peer Comparison</t>
  </si>
  <si>
    <t xml:space="preserve">Linked to the Ratios and Financials sheets. Rank 1 = best (for Debt/Equity and Cash Conversion Cycle, lower is better).</t>
  </si>
  <si>
    <t xml:space="preserve">FY26 Snapshot</t>
  </si>
  <si>
    <t xml:space="preserve">Metric</t>
  </si>
  <si>
    <t xml:space="preserve">Revenue CAGR (FY21–FY26)</t>
  </si>
  <si>
    <t xml:space="preserve">Net Profit CAGR (FY21–FY26)</t>
  </si>
  <si>
    <t xml:space="preserve">Operating Margin</t>
  </si>
  <si>
    <t xml:space="preserve">ROE</t>
  </si>
  <si>
    <t xml:space="preserve">ROCE</t>
  </si>
  <si>
    <t xml:space="preserve">ROA</t>
  </si>
  <si>
    <t xml:space="preserve">CFO / Net Profit</t>
  </si>
  <si>
    <t xml:space="preserve">5-Year Average (FY22–FY26)</t>
  </si>
  <si>
    <t xml:space="preserve">FY26 Ranking (1 = best)</t>
  </si>
  <si>
    <t xml:space="preserve">FMCG Peer Dashboard</t>
  </si>
  <si>
    <t xml:space="preserve">Trend tables (linked to Ratios) feed the charts on the right.</t>
  </si>
  <si>
    <t xml:space="preserve">Year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</si>
</sst>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#,##0.00"/>
    <numFmt numFmtId="167" formatCode="0.0%;\(0.0%\);\-"/>
    <numFmt numFmtId="168" formatCode="0;\(0\);\-"/>
    <numFmt numFmtId="169" formatCode="0.00\x;\(0.00&quot;x)&quot;;\-"/>
    <numFmt numFmtId="170" formatCode="General"/>
    <numFmt numFmtId="171" formatCode="0%"/>
    <numFmt numFmtId="172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sz val="9"/>
      <color rgb="FF595959"/>
      <name val="Arial"/>
      <family val="0"/>
      <charset val="1"/>
    </font>
    <font>
      <sz val="11"/>
      <color rgb="FFA6A6A6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A6A6A6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(OPM)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Dashboard!B5</c:f>
              <c:strCache>
                <c:ptCount val="1"/>
                <c:pt idx="0">
                  <c:v>HUL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Dashboard!$B$6:$B$10</c:f>
              <c:numCache>
                <c:formatCode>0.0%;\(0.0%\);\-</c:formatCode>
                <c:ptCount val="5"/>
                <c:pt idx="0">
                  <c:v>0.245147389696068</c:v>
                </c:pt>
                <c:pt idx="1">
                  <c:v>0.233525916143942</c:v>
                </c:pt>
                <c:pt idx="2">
                  <c:v>0.23683275171255</c:v>
                </c:pt>
                <c:pt idx="3">
                  <c:v>0.239662144534307</c:v>
                </c:pt>
                <c:pt idx="4">
                  <c:v>0.233278525780232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Dashboard!C5</c:f>
              <c:strCache>
                <c:ptCount val="1"/>
                <c:pt idx="0">
                  <c:v>ITC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Dashboard!$C$6:$C$10</c:f>
              <c:numCache>
                <c:formatCode>0.0%;\(0.0%\);\-</c:formatCode>
                <c:ptCount val="5"/>
                <c:pt idx="0">
                  <c:v>0.340061010800561</c:v>
                </c:pt>
                <c:pt idx="1">
                  <c:v>0.362441658793835</c:v>
                </c:pt>
                <c:pt idx="2">
                  <c:v>0.370782547253136</c:v>
                </c:pt>
                <c:pt idx="3">
                  <c:v>0.342949696639805</c:v>
                </c:pt>
                <c:pt idx="4">
                  <c:v>0.346224070598976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Dashboard!D5</c:f>
              <c:strCache>
                <c:ptCount val="1"/>
                <c:pt idx="0">
                  <c:v>Dabur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Dashboard!$D$6:$D$10</c:f>
              <c:numCache>
                <c:formatCode>0.0%;\(0.0%\);\-</c:formatCode>
                <c:ptCount val="5"/>
                <c:pt idx="0">
                  <c:v>0.206814216181468</c:v>
                </c:pt>
                <c:pt idx="1">
                  <c:v>0.187510841283608</c:v>
                </c:pt>
                <c:pt idx="2">
                  <c:v>0.193485972267011</c:v>
                </c:pt>
                <c:pt idx="3">
                  <c:v>0.1843508716071</c:v>
                </c:pt>
                <c:pt idx="4">
                  <c:v>0.185704540286516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Dashboard!E5</c:f>
              <c:strCache>
                <c:ptCount val="1"/>
                <c:pt idx="0">
                  <c:v>Britannia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Dashboard!$E$6:$E$10</c:f>
              <c:numCache>
                <c:formatCode>0.0%;\(0.0%\);\-</c:formatCode>
                <c:ptCount val="5"/>
                <c:pt idx="0">
                  <c:v>0.155701754385965</c:v>
                </c:pt>
                <c:pt idx="1">
                  <c:v>0.173670326973805</c:v>
                </c:pt>
                <c:pt idx="2">
                  <c:v>0.188860397161429</c:v>
                </c:pt>
                <c:pt idx="3">
                  <c:v>0.177004960151591</c:v>
                </c:pt>
                <c:pt idx="4">
                  <c:v>0.183479532163743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Dashboard!F5</c:f>
              <c:strCache>
                <c:ptCount val="1"/>
                <c:pt idx="0">
                  <c:v>Marico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Dashboard!$F$6:$F$10</c:f>
              <c:numCache>
                <c:formatCode>0.0%;\(0.0%\);\-</c:formatCode>
                <c:ptCount val="5"/>
                <c:pt idx="0">
                  <c:v>0.176724137931034</c:v>
                </c:pt>
                <c:pt idx="1">
                  <c:v>0.185374846374437</c:v>
                </c:pt>
                <c:pt idx="2">
                  <c:v>0.209882937946752</c:v>
                </c:pt>
                <c:pt idx="3">
                  <c:v>0.197488689871665</c:v>
                </c:pt>
                <c:pt idx="4">
                  <c:v>0.171038130923518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46279"/>
        <c:axId val="17667980"/>
      </c:lineChart>
      <c:catAx>
        <c:axId val="2646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67980"/>
        <c:crosses val="autoZero"/>
        <c:auto val="1"/>
        <c:lblAlgn val="ctr"/>
        <c:lblOffset val="100"/>
        <c:noMultiLvlLbl val="0"/>
      </c:catAx>
      <c:valAx>
        <c:axId val="17667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62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on Equity (ROE)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Dashboard!B14</c:f>
              <c:strCache>
                <c:ptCount val="1"/>
                <c:pt idx="0">
                  <c:v>HUL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Dashboard!$B$15:$B$19</c:f>
              <c:numCache>
                <c:formatCode>0.0%;\(0.0%\);\-</c:formatCode>
                <c:ptCount val="5"/>
                <c:pt idx="0">
                  <c:v>0.183842456194759</c:v>
                </c:pt>
                <c:pt idx="1">
                  <c:v>0.204156393096161</c:v>
                </c:pt>
                <c:pt idx="2">
                  <c:v>0.202557081223774</c:v>
                </c:pt>
                <c:pt idx="3">
                  <c:v>0.212104949314252</c:v>
                </c:pt>
                <c:pt idx="4">
                  <c:v>0.306884992001304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Dashboard!C14</c:f>
              <c:strCache>
                <c:ptCount val="1"/>
                <c:pt idx="0">
                  <c:v>ITC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Dashboard!$C$15:$C$19</c:f>
              <c:numCache>
                <c:formatCode>0.0%;\(0.0%\);\-</c:formatCode>
                <c:ptCount val="5"/>
                <c:pt idx="0">
                  <c:v>0.252487744499275</c:v>
                </c:pt>
                <c:pt idx="1">
                  <c:v>0.295980548590533</c:v>
                </c:pt>
                <c:pt idx="2">
                  <c:v>0.28888641394384</c:v>
                </c:pt>
                <c:pt idx="3">
                  <c:v>0.485024595778244</c:v>
                </c:pt>
                <c:pt idx="4">
                  <c:v>0.294912899808471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Dashboard!D14</c:f>
              <c:strCache>
                <c:ptCount val="1"/>
                <c:pt idx="0">
                  <c:v>Dabur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Dashboard!$D$15:$D$19</c:f>
              <c:numCache>
                <c:formatCode>0.0%;\(0.0%\);\-</c:formatCode>
                <c:ptCount val="5"/>
                <c:pt idx="0">
                  <c:v>0.217125763430138</c:v>
                </c:pt>
                <c:pt idx="1">
                  <c:v>0.196024200518583</c:v>
                </c:pt>
                <c:pt idx="2">
                  <c:v>0.19226073570784</c:v>
                </c:pt>
                <c:pt idx="3">
                  <c:v>0.168392528791251</c:v>
                </c:pt>
                <c:pt idx="4">
                  <c:v>0.168234393987128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Dashboard!E14</c:f>
              <c:strCache>
                <c:ptCount val="1"/>
                <c:pt idx="0">
                  <c:v>Britannia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Dashboard!$E$15:$E$19</c:f>
              <c:numCache>
                <c:formatCode>0.0%;\(0.0%\);\-</c:formatCode>
                <c:ptCount val="5"/>
                <c:pt idx="0">
                  <c:v>0.496560759908287</c:v>
                </c:pt>
                <c:pt idx="1">
                  <c:v>0.760341431385424</c:v>
                </c:pt>
                <c:pt idx="2">
                  <c:v>0.570969899665552</c:v>
                </c:pt>
                <c:pt idx="3">
                  <c:v>0.525009039411836</c:v>
                </c:pt>
                <c:pt idx="4">
                  <c:v>0.536250264214754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Dashboard!F14</c:f>
              <c:strCache>
                <c:ptCount val="1"/>
                <c:pt idx="0">
                  <c:v>Marico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Dashboard!$F$15:$F$19</c:f>
              <c:numCache>
                <c:formatCode>0.0%;\(0.0%\);\-</c:formatCode>
                <c:ptCount val="5"/>
                <c:pt idx="0">
                  <c:v>0.380995749848209</c:v>
                </c:pt>
                <c:pt idx="1">
                  <c:v>0.369945431649643</c:v>
                </c:pt>
                <c:pt idx="2">
                  <c:v>0.393657449875508</c:v>
                </c:pt>
                <c:pt idx="3">
                  <c:v>0.42474702190342</c:v>
                </c:pt>
                <c:pt idx="4">
                  <c:v>0.443005497861943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047804"/>
        <c:axId val="93922302"/>
      </c:lineChart>
      <c:catAx>
        <c:axId val="510478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22302"/>
        <c:crosses val="autoZero"/>
        <c:auto val="1"/>
        <c:lblAlgn val="ctr"/>
        <c:lblOffset val="100"/>
        <c:noMultiLvlLbl val="0"/>
      </c:catAx>
      <c:valAx>
        <c:axId val="939223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478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on Capital Employed (ROCE)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Dashboard!B23</c:f>
              <c:strCache>
                <c:ptCount val="1"/>
                <c:pt idx="0">
                  <c:v>HUL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Dashboard!$B$24:$B$28</c:f>
              <c:numCache>
                <c:formatCode>0.0%;\(0.0%\);\-</c:formatCode>
                <c:ptCount val="5"/>
                <c:pt idx="0">
                  <c:v>0.245147170120068</c:v>
                </c:pt>
                <c:pt idx="1">
                  <c:v>0.264850876243518</c:v>
                </c:pt>
                <c:pt idx="2">
                  <c:v>0.273638762293116</c:v>
                </c:pt>
                <c:pt idx="3">
                  <c:v>0.285295705143033</c:v>
                </c:pt>
                <c:pt idx="4">
                  <c:v>0.367918472947752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Dashboard!C23</c:f>
              <c:strCache>
                <c:ptCount val="1"/>
                <c:pt idx="0">
                  <c:v>ITC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Dashboard!$C$24:$C$28</c:f>
              <c:numCache>
                <c:formatCode>0.0%;\(0.0%\);\-</c:formatCode>
                <c:ptCount val="5"/>
                <c:pt idx="0">
                  <c:v>0.337328295032517</c:v>
                </c:pt>
                <c:pt idx="1">
                  <c:v>0.393341656263005</c:v>
                </c:pt>
                <c:pt idx="2">
                  <c:v>0.374295596481621</c:v>
                </c:pt>
                <c:pt idx="3">
                  <c:v>0.578645994832041</c:v>
                </c:pt>
                <c:pt idx="4">
                  <c:v>0.387244269079541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Dashboard!D23</c:f>
              <c:strCache>
                <c:ptCount val="1"/>
                <c:pt idx="0">
                  <c:v>Dabur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Dashboard!$D$24:$D$28</c:f>
              <c:numCache>
                <c:formatCode>0.0%;\(0.0%\);\-</c:formatCode>
                <c:ptCount val="5"/>
                <c:pt idx="0">
                  <c:v>0.262496445834518</c:v>
                </c:pt>
                <c:pt idx="1">
                  <c:v>0.23487908379774</c:v>
                </c:pt>
                <c:pt idx="2">
                  <c:v>0.232294882589578</c:v>
                </c:pt>
                <c:pt idx="3">
                  <c:v>0.210782820590923</c:v>
                </c:pt>
                <c:pt idx="4">
                  <c:v>0.209764474975466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Dashboard!E23</c:f>
              <c:strCache>
                <c:ptCount val="1"/>
                <c:pt idx="0">
                  <c:v>Britannia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Dashboard!$E$24:$E$28</c:f>
              <c:numCache>
                <c:formatCode>0.0%;\(0.0%\);\-</c:formatCode>
                <c:ptCount val="5"/>
                <c:pt idx="0">
                  <c:v>0.415560127174116</c:v>
                </c:pt>
                <c:pt idx="1">
                  <c:v>0.553500432152118</c:v>
                </c:pt>
                <c:pt idx="2">
                  <c:v>0.490867033580601</c:v>
                </c:pt>
                <c:pt idx="3">
                  <c:v>0.528210870876045</c:v>
                </c:pt>
                <c:pt idx="4">
                  <c:v>0.562825709322525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Dashboard!F23</c:f>
              <c:strCache>
                <c:ptCount val="1"/>
                <c:pt idx="0">
                  <c:v>Marico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Dashboard!$F$24:$F$28</c:f>
              <c:numCache>
                <c:formatCode>0.0%;\(0.0%\);\-</c:formatCode>
                <c:ptCount val="5"/>
                <c:pt idx="0">
                  <c:v>0.432831881762998</c:v>
                </c:pt>
                <c:pt idx="1">
                  <c:v>0.436968666504737</c:v>
                </c:pt>
                <c:pt idx="2">
                  <c:v>0.458537698186381</c:v>
                </c:pt>
                <c:pt idx="3">
                  <c:v>0.488018899763753</c:v>
                </c:pt>
                <c:pt idx="4">
                  <c:v>0.501290877796902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406738"/>
        <c:axId val="22762776"/>
      </c:lineChart>
      <c:catAx>
        <c:axId val="294067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62776"/>
        <c:crosses val="autoZero"/>
        <c:auto val="1"/>
        <c:lblAlgn val="ctr"/>
        <c:lblOffset val="100"/>
        <c:noMultiLvlLbl val="0"/>
      </c:catAx>
      <c:valAx>
        <c:axId val="227627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067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Conversion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Dashboard!B41</c:f>
              <c:strCache>
                <c:ptCount val="1"/>
                <c:pt idx="0">
                  <c:v>HUL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Dashboard!$B$42:$B$46</c:f>
              <c:numCache>
                <c:formatCode>0;\(0\);\-</c:formatCode>
                <c:ptCount val="5"/>
                <c:pt idx="0">
                  <c:v>-64</c:v>
                </c:pt>
                <c:pt idx="1">
                  <c:v>-49</c:v>
                </c:pt>
                <c:pt idx="2">
                  <c:v>-70</c:v>
                </c:pt>
                <c:pt idx="3">
                  <c:v>-72</c:v>
                </c:pt>
                <c:pt idx="4">
                  <c:v>-89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Dashboard!C41</c:f>
              <c:strCache>
                <c:ptCount val="1"/>
                <c:pt idx="0">
                  <c:v>ITC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Dashboard!$C$42:$C$46</c:f>
              <c:numCache>
                <c:formatCode>0;\(0\);\-</c:formatCode>
                <c:ptCount val="5"/>
                <c:pt idx="0">
                  <c:v>104</c:v>
                </c:pt>
                <c:pt idx="1">
                  <c:v>104</c:v>
                </c:pt>
                <c:pt idx="2">
                  <c:v>148</c:v>
                </c:pt>
                <c:pt idx="3">
                  <c:v>146</c:v>
                </c:pt>
                <c:pt idx="4">
                  <c:v>164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Dashboard!D41</c:f>
              <c:strCache>
                <c:ptCount val="1"/>
                <c:pt idx="0">
                  <c:v>Dabur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Dashboard!$D$42:$D$46</c:f>
              <c:numCache>
                <c:formatCode>0;\(0\);\-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-11</c:v>
                </c:pt>
                <c:pt idx="3">
                  <c:v>-14</c:v>
                </c:pt>
                <c:pt idx="4">
                  <c:v>-26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Dashboard!E41</c:f>
              <c:strCache>
                <c:ptCount val="1"/>
                <c:pt idx="0">
                  <c:v>Britannia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Dashboard!$E$42:$E$46</c:f>
              <c:numCache>
                <c:formatCode>0;\(0\);\-</c:formatCode>
                <c:ptCount val="5"/>
                <c:pt idx="0">
                  <c:v>11</c:v>
                </c:pt>
                <c:pt idx="1">
                  <c:v>-3</c:v>
                </c:pt>
                <c:pt idx="2">
                  <c:v>-9</c:v>
                </c:pt>
                <c:pt idx="3">
                  <c:v>-8</c:v>
                </c:pt>
                <c:pt idx="4">
                  <c:v>-9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Dashboard!F41</c:f>
              <c:strCache>
                <c:ptCount val="1"/>
                <c:pt idx="0">
                  <c:v>Marico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Dashboard!$F$42:$F$46</c:f>
              <c:numCache>
                <c:formatCode>0;\(0\);\-</c:formatCode>
                <c:ptCount val="5"/>
                <c:pt idx="0">
                  <c:v>30</c:v>
                </c:pt>
                <c:pt idx="1">
                  <c:v>20</c:v>
                </c:pt>
                <c:pt idx="2">
                  <c:v>19</c:v>
                </c:pt>
                <c:pt idx="3">
                  <c:v>33</c:v>
                </c:pt>
                <c:pt idx="4">
                  <c:v>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921449"/>
        <c:axId val="62344990"/>
      </c:lineChart>
      <c:catAx>
        <c:axId val="649214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44990"/>
        <c:crosses val="autoZero"/>
        <c:auto val="1"/>
        <c:lblAlgn val="ctr"/>
        <c:lblOffset val="100"/>
        <c:noMultiLvlLbl val="0"/>
      </c:catAx>
      <c:valAx>
        <c:axId val="62344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214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CAGR FY21–FY26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Comparison!$B$5:$F$5</c:f>
              <c:strCache>
                <c:ptCount val="5"/>
                <c:pt idx="0">
                  <c:v>HUL</c:v>
                </c:pt>
                <c:pt idx="1">
                  <c:v>ITC</c:v>
                </c:pt>
                <c:pt idx="2">
                  <c:v>Dabur</c:v>
                </c:pt>
                <c:pt idx="3">
                  <c:v>Britannia</c:v>
                </c:pt>
                <c:pt idx="4">
                  <c:v>Marico</c:v>
                </c:pt>
              </c:strCache>
            </c:strRef>
          </c:cat>
          <c:val>
            <c:numRef>
              <c:f>Comparison!$B$6:$F$6</c:f>
              <c:numCache>
                <c:formatCode>0.0%;\(0.0%\);\-</c:formatCode>
                <c:ptCount val="5"/>
                <c:pt idx="0">
                  <c:v>0.0651175424096415</c:v>
                </c:pt>
                <c:pt idx="1">
                  <c:v>0.0987188463346898</c:v>
                </c:pt>
                <c:pt idx="2">
                  <c:v>0.0664953460284152</c:v>
                </c:pt>
                <c:pt idx="3">
                  <c:v>0.0783263025542897</c:v>
                </c:pt>
                <c:pt idx="4">
                  <c:v>0.110811617638035</c:v>
                </c:pt>
              </c:numCache>
            </c:numRef>
          </c:val>
        </c:ser>
        <c:gapWidth val="150"/>
        <c:overlap val="0"/>
        <c:axId val="50114704"/>
        <c:axId val="71789412"/>
      </c:barChart>
      <c:catAx>
        <c:axId val="5011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89412"/>
        <c:crosses val="autoZero"/>
        <c:auto val="1"/>
        <c:lblAlgn val="ctr"/>
        <c:lblOffset val="100"/>
        <c:noMultiLvlLbl val="0"/>
      </c:catAx>
      <c:valAx>
        <c:axId val="71789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14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Free Cash Flow Margin FY26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Comparison!$B$5:$F$5</c:f>
              <c:strCache>
                <c:ptCount val="5"/>
                <c:pt idx="0">
                  <c:v>HUL</c:v>
                </c:pt>
                <c:pt idx="1">
                  <c:v>ITC</c:v>
                </c:pt>
                <c:pt idx="2">
                  <c:v>Dabur</c:v>
                </c:pt>
                <c:pt idx="3">
                  <c:v>Britannia</c:v>
                </c:pt>
                <c:pt idx="4">
                  <c:v>Marico</c:v>
                </c:pt>
              </c:strCache>
            </c:strRef>
          </c:cat>
          <c:val>
            <c:numRef>
              <c:f>Comparison!$B$18:$F$18</c:f>
              <c:numCache>
                <c:formatCode>0.0%;\(0.0%\);\-</c:formatCode>
                <c:ptCount val="5"/>
                <c:pt idx="0">
                  <c:v>0.149950362970776</c:v>
                </c:pt>
                <c:pt idx="1">
                  <c:v>0.207080184612264</c:v>
                </c:pt>
                <c:pt idx="2">
                  <c:v>0.165239141969226</c:v>
                </c:pt>
                <c:pt idx="3">
                  <c:v>0.125730994152047</c:v>
                </c:pt>
                <c:pt idx="4">
                  <c:v>0.130188817867901</c:v>
                </c:pt>
              </c:numCache>
            </c:numRef>
          </c:val>
        </c:ser>
        <c:gapWidth val="150"/>
        <c:overlap val="0"/>
        <c:axId val="24461061"/>
        <c:axId val="82805490"/>
      </c:barChart>
      <c:catAx>
        <c:axId val="244610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05490"/>
        <c:crosses val="autoZero"/>
        <c:auto val="1"/>
        <c:lblAlgn val="ctr"/>
        <c:lblOffset val="100"/>
        <c:noMultiLvlLbl val="0"/>
      </c:catAx>
      <c:valAx>
        <c:axId val="82805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610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15</xdr:col>
      <xdr:colOff>507600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632088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</xdr:row>
      <xdr:rowOff>160920</xdr:rowOff>
    </xdr:from>
    <xdr:to>
      <xdr:col>24</xdr:col>
      <xdr:colOff>507600</xdr:colOff>
      <xdr:row>17</xdr:row>
      <xdr:rowOff>2880</xdr:rowOff>
    </xdr:to>
    <xdr:graphicFrame>
      <xdr:nvGraphicFramePr>
        <xdr:cNvPr id="1" name="Chart 2"/>
        <xdr:cNvGraphicFramePr/>
      </xdr:nvGraphicFramePr>
      <xdr:xfrm>
        <a:off x="1182420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18</xdr:row>
      <xdr:rowOff>160560</xdr:rowOff>
    </xdr:from>
    <xdr:to>
      <xdr:col>15</xdr:col>
      <xdr:colOff>507600</xdr:colOff>
      <xdr:row>33</xdr:row>
      <xdr:rowOff>2880</xdr:rowOff>
    </xdr:to>
    <xdr:graphicFrame>
      <xdr:nvGraphicFramePr>
        <xdr:cNvPr id="2" name="Chart 3"/>
        <xdr:cNvGraphicFramePr/>
      </xdr:nvGraphicFramePr>
      <xdr:xfrm>
        <a:off x="632088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18</xdr:row>
      <xdr:rowOff>160560</xdr:rowOff>
    </xdr:from>
    <xdr:to>
      <xdr:col>24</xdr:col>
      <xdr:colOff>507600</xdr:colOff>
      <xdr:row>33</xdr:row>
      <xdr:rowOff>2880</xdr:rowOff>
    </xdr:to>
    <xdr:graphicFrame>
      <xdr:nvGraphicFramePr>
        <xdr:cNvPr id="3" name="Chart 4"/>
        <xdr:cNvGraphicFramePr/>
      </xdr:nvGraphicFramePr>
      <xdr:xfrm>
        <a:off x="1182420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34</xdr:row>
      <xdr:rowOff>160560</xdr:rowOff>
    </xdr:from>
    <xdr:to>
      <xdr:col>15</xdr:col>
      <xdr:colOff>507600</xdr:colOff>
      <xdr:row>49</xdr:row>
      <xdr:rowOff>2880</xdr:rowOff>
    </xdr:to>
    <xdr:graphicFrame>
      <xdr:nvGraphicFramePr>
        <xdr:cNvPr id="4" name="Chart 5"/>
        <xdr:cNvGraphicFramePr/>
      </xdr:nvGraphicFramePr>
      <xdr:xfrm>
        <a:off x="6320880" y="6667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34</xdr:row>
      <xdr:rowOff>160560</xdr:rowOff>
    </xdr:from>
    <xdr:to>
      <xdr:col>24</xdr:col>
      <xdr:colOff>507600</xdr:colOff>
      <xdr:row>49</xdr:row>
      <xdr:rowOff>2880</xdr:rowOff>
    </xdr:to>
    <xdr:graphicFrame>
      <xdr:nvGraphicFramePr>
        <xdr:cNvPr id="5" name="Chart 6"/>
        <xdr:cNvGraphicFramePr/>
      </xdr:nvGraphicFramePr>
      <xdr:xfrm>
        <a:off x="11824200" y="6667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6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5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3" t="s">
        <v>26</v>
      </c>
    </row>
    <row r="34" customFormat="false" ht="26.85" hidden="false" customHeight="false" outlineLevel="0" collapsed="false">
      <c r="A34" s="2" t="s">
        <v>27</v>
      </c>
    </row>
    <row r="35" customFormat="false" ht="26.85" hidden="false" customHeight="false" outlineLevel="0" collapsed="false">
      <c r="A35" s="2" t="s">
        <v>28</v>
      </c>
    </row>
    <row r="36" customFormat="false" ht="26.85" hidden="false" customHeight="false" outlineLevel="0" collapsed="false">
      <c r="A36" s="2" t="s">
        <v>29</v>
      </c>
    </row>
    <row r="37" customFormat="false" ht="26.8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3" t="s">
        <v>31</v>
      </c>
    </row>
    <row r="40" customFormat="false" ht="26.85" hidden="false" customHeight="false" outlineLevel="0" collapsed="false">
      <c r="A40" s="2" t="s">
        <v>32</v>
      </c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3" t="s">
        <v>33</v>
      </c>
    </row>
    <row r="43" customFormat="false" ht="15" hidden="false" customHeight="false" outlineLevel="0" collapsed="false">
      <c r="A43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2"/>
    <col collapsed="false" customWidth="true" hidden="false" outlineLevel="0" max="9" min="4" style="0" width="12"/>
  </cols>
  <sheetData>
    <row r="1" customFormat="false" ht="16.15" hidden="false" customHeight="false" outlineLevel="0" collapsed="false">
      <c r="A1" s="6" t="s">
        <v>35</v>
      </c>
    </row>
    <row r="2" customFormat="false" ht="15" hidden="false" customHeight="false" outlineLevel="0" collapsed="false">
      <c r="A2" s="7" t="s">
        <v>36</v>
      </c>
    </row>
    <row r="4" customFormat="false" ht="15" hidden="false" customHeight="false" outlineLevel="0" collapsed="false">
      <c r="A4" s="8" t="s">
        <v>37</v>
      </c>
      <c r="B4" s="8" t="s">
        <v>38</v>
      </c>
      <c r="C4" s="8"/>
      <c r="D4" s="9" t="s">
        <v>39</v>
      </c>
      <c r="E4" s="9" t="s">
        <v>40</v>
      </c>
      <c r="F4" s="9" t="s">
        <v>41</v>
      </c>
      <c r="G4" s="9" t="s">
        <v>42</v>
      </c>
      <c r="H4" s="9" t="s">
        <v>43</v>
      </c>
      <c r="I4" s="9" t="s">
        <v>44</v>
      </c>
    </row>
    <row r="5" customFormat="false" ht="15" hidden="false" customHeight="false" outlineLevel="0" collapsed="false">
      <c r="A5" s="10" t="s">
        <v>37</v>
      </c>
      <c r="B5" s="11" t="s">
        <v>45</v>
      </c>
      <c r="C5" s="12"/>
      <c r="D5" s="12"/>
      <c r="E5" s="12"/>
      <c r="F5" s="12"/>
      <c r="G5" s="12"/>
      <c r="H5" s="12"/>
      <c r="I5" s="12"/>
    </row>
    <row r="6" customFormat="false" ht="15" hidden="false" customHeight="false" outlineLevel="0" collapsed="false">
      <c r="A6" s="13" t="s">
        <v>37</v>
      </c>
      <c r="B6" s="13" t="s">
        <v>46</v>
      </c>
      <c r="D6" s="14" t="n">
        <v>47028</v>
      </c>
      <c r="E6" s="14" t="n">
        <v>52446</v>
      </c>
      <c r="F6" s="14" t="n">
        <v>60580</v>
      </c>
      <c r="G6" s="14" t="n">
        <v>61896</v>
      </c>
      <c r="H6" s="14" t="n">
        <v>61328</v>
      </c>
      <c r="I6" s="14" t="n">
        <v>64468</v>
      </c>
    </row>
    <row r="7" customFormat="false" ht="15" hidden="false" customHeight="false" outlineLevel="0" collapsed="false">
      <c r="A7" s="13" t="s">
        <v>37</v>
      </c>
      <c r="B7" s="13" t="s">
        <v>47</v>
      </c>
      <c r="D7" s="14" t="n">
        <v>35402</v>
      </c>
      <c r="E7" s="14" t="n">
        <v>39589</v>
      </c>
      <c r="F7" s="14" t="n">
        <v>46433</v>
      </c>
      <c r="G7" s="14" t="n">
        <v>47237</v>
      </c>
      <c r="H7" s="14" t="n">
        <v>46630</v>
      </c>
      <c r="I7" s="14" t="n">
        <v>49429</v>
      </c>
    </row>
    <row r="8" customFormat="false" ht="15" hidden="false" customHeight="false" outlineLevel="0" collapsed="false">
      <c r="A8" s="13" t="s">
        <v>37</v>
      </c>
      <c r="B8" s="13" t="s">
        <v>48</v>
      </c>
      <c r="D8" s="14" t="n">
        <v>11626</v>
      </c>
      <c r="E8" s="14" t="n">
        <v>12857</v>
      </c>
      <c r="F8" s="14" t="n">
        <v>14147</v>
      </c>
      <c r="G8" s="14" t="n">
        <v>14659</v>
      </c>
      <c r="H8" s="14" t="n">
        <v>14698</v>
      </c>
      <c r="I8" s="14" t="n">
        <v>15039</v>
      </c>
    </row>
    <row r="9" customFormat="false" ht="15" hidden="false" customHeight="false" outlineLevel="0" collapsed="false">
      <c r="A9" s="13" t="s">
        <v>37</v>
      </c>
      <c r="B9" s="13" t="s">
        <v>49</v>
      </c>
      <c r="D9" s="14" t="n">
        <v>170</v>
      </c>
      <c r="E9" s="14" t="n">
        <v>219</v>
      </c>
      <c r="F9" s="14" t="n">
        <v>448</v>
      </c>
      <c r="G9" s="14" t="n">
        <v>817</v>
      </c>
      <c r="H9" s="14" t="n">
        <v>1355</v>
      </c>
      <c r="I9" s="14" t="n">
        <v>4923</v>
      </c>
    </row>
    <row r="10" customFormat="false" ht="15" hidden="false" customHeight="false" outlineLevel="0" collapsed="false">
      <c r="A10" s="13" t="s">
        <v>37</v>
      </c>
      <c r="B10" s="13" t="s">
        <v>50</v>
      </c>
      <c r="D10" s="14" t="n">
        <v>117</v>
      </c>
      <c r="E10" s="14" t="n">
        <v>106</v>
      </c>
      <c r="F10" s="14" t="n">
        <v>114</v>
      </c>
      <c r="G10" s="14" t="n">
        <v>334</v>
      </c>
      <c r="H10" s="14" t="n">
        <v>381</v>
      </c>
      <c r="I10" s="14" t="n">
        <v>410</v>
      </c>
    </row>
    <row r="11" customFormat="false" ht="15" hidden="false" customHeight="false" outlineLevel="0" collapsed="false">
      <c r="A11" s="13" t="s">
        <v>37</v>
      </c>
      <c r="B11" s="13" t="s">
        <v>51</v>
      </c>
      <c r="D11" s="14" t="n">
        <v>1074</v>
      </c>
      <c r="E11" s="14" t="n">
        <v>1091</v>
      </c>
      <c r="F11" s="14" t="n">
        <v>1137</v>
      </c>
      <c r="G11" s="14" t="n">
        <v>1216</v>
      </c>
      <c r="H11" s="14" t="n">
        <v>1253</v>
      </c>
      <c r="I11" s="14" t="n">
        <v>1333</v>
      </c>
    </row>
    <row r="12" customFormat="false" ht="15" hidden="false" customHeight="false" outlineLevel="0" collapsed="false">
      <c r="A12" s="13" t="s">
        <v>37</v>
      </c>
      <c r="B12" s="13" t="s">
        <v>52</v>
      </c>
      <c r="D12" s="14" t="n">
        <v>10605</v>
      </c>
      <c r="E12" s="14" t="n">
        <v>11879</v>
      </c>
      <c r="F12" s="14" t="n">
        <v>13344</v>
      </c>
      <c r="G12" s="14" t="n">
        <v>13926</v>
      </c>
      <c r="H12" s="14" t="n">
        <v>14419</v>
      </c>
      <c r="I12" s="14" t="n">
        <v>18219</v>
      </c>
    </row>
    <row r="13" customFormat="false" ht="15" hidden="false" customHeight="false" outlineLevel="0" collapsed="false">
      <c r="A13" s="13" t="s">
        <v>37</v>
      </c>
      <c r="B13" s="13" t="s">
        <v>53</v>
      </c>
      <c r="D13" s="14" t="n">
        <v>7999</v>
      </c>
      <c r="E13" s="14" t="n">
        <v>8892</v>
      </c>
      <c r="F13" s="14" t="n">
        <v>10143</v>
      </c>
      <c r="G13" s="14" t="n">
        <v>10282</v>
      </c>
      <c r="H13" s="14" t="n">
        <v>10671</v>
      </c>
      <c r="I13" s="14" t="n">
        <v>15059</v>
      </c>
    </row>
    <row r="14" customFormat="false" ht="15" hidden="false" customHeight="false" outlineLevel="0" collapsed="false">
      <c r="A14" s="13" t="s">
        <v>37</v>
      </c>
      <c r="B14" s="13" t="s">
        <v>54</v>
      </c>
      <c r="D14" s="15" t="n">
        <v>34.03</v>
      </c>
      <c r="E14" s="15" t="n">
        <v>37.79</v>
      </c>
      <c r="F14" s="15" t="n">
        <v>43.07</v>
      </c>
      <c r="G14" s="15" t="n">
        <v>43.74</v>
      </c>
      <c r="H14" s="15" t="n">
        <v>45.32</v>
      </c>
      <c r="I14" s="15" t="n">
        <v>64.01</v>
      </c>
    </row>
    <row r="15" customFormat="false" ht="15" hidden="false" customHeight="false" outlineLevel="0" collapsed="false">
      <c r="A15" s="13" t="s">
        <v>37</v>
      </c>
      <c r="B15" s="13" t="s">
        <v>55</v>
      </c>
      <c r="D15" s="16" t="n">
        <v>1.19</v>
      </c>
      <c r="E15" s="16" t="n">
        <v>0.9</v>
      </c>
      <c r="F15" s="16" t="n">
        <v>0.91</v>
      </c>
      <c r="G15" s="16" t="n">
        <v>0.96</v>
      </c>
      <c r="H15" s="16" t="n">
        <v>1.17</v>
      </c>
      <c r="I15" s="16" t="n">
        <v>0.64</v>
      </c>
    </row>
    <row r="16" customFormat="false" ht="15" hidden="false" customHeight="false" outlineLevel="0" collapsed="false">
      <c r="A16" s="10" t="s">
        <v>37</v>
      </c>
      <c r="B16" s="11" t="s">
        <v>56</v>
      </c>
      <c r="C16" s="12"/>
      <c r="D16" s="12"/>
      <c r="E16" s="12"/>
      <c r="F16" s="12"/>
      <c r="G16" s="12"/>
      <c r="H16" s="12"/>
      <c r="I16" s="12"/>
    </row>
    <row r="17" customFormat="false" ht="15" hidden="false" customHeight="false" outlineLevel="0" collapsed="false">
      <c r="A17" s="13" t="s">
        <v>37</v>
      </c>
      <c r="B17" s="13" t="s">
        <v>57</v>
      </c>
      <c r="D17" s="14" t="n">
        <v>235</v>
      </c>
      <c r="E17" s="14" t="n">
        <v>235</v>
      </c>
      <c r="F17" s="14" t="n">
        <v>235</v>
      </c>
      <c r="G17" s="14" t="n">
        <v>235</v>
      </c>
      <c r="H17" s="14" t="n">
        <v>235</v>
      </c>
      <c r="I17" s="14" t="n">
        <v>235</v>
      </c>
    </row>
    <row r="18" customFormat="false" ht="15" hidden="false" customHeight="false" outlineLevel="0" collapsed="false">
      <c r="A18" s="13" t="s">
        <v>37</v>
      </c>
      <c r="B18" s="13" t="s">
        <v>58</v>
      </c>
      <c r="D18" s="14" t="n">
        <v>47439</v>
      </c>
      <c r="E18" s="14" t="n">
        <v>48826</v>
      </c>
      <c r="F18" s="14" t="n">
        <v>50069</v>
      </c>
      <c r="G18" s="14" t="n">
        <v>50983</v>
      </c>
      <c r="H18" s="14" t="n">
        <v>49167</v>
      </c>
      <c r="I18" s="14" t="n">
        <v>48504</v>
      </c>
    </row>
    <row r="19" customFormat="false" ht="15" hidden="false" customHeight="false" outlineLevel="0" collapsed="false">
      <c r="A19" s="13" t="s">
        <v>37</v>
      </c>
      <c r="B19" s="13" t="s">
        <v>59</v>
      </c>
      <c r="D19" s="14" t="n">
        <v>0</v>
      </c>
      <c r="E19" s="14" t="n">
        <v>1043</v>
      </c>
      <c r="F19" s="14" t="n">
        <v>1219</v>
      </c>
      <c r="G19" s="14" t="n">
        <v>1484</v>
      </c>
      <c r="H19" s="14" t="n">
        <v>1648</v>
      </c>
      <c r="I19" s="14" t="n">
        <v>1478</v>
      </c>
    </row>
    <row r="20" customFormat="false" ht="15" hidden="false" customHeight="false" outlineLevel="0" collapsed="false">
      <c r="A20" s="13" t="s">
        <v>37</v>
      </c>
      <c r="B20" s="13" t="s">
        <v>60</v>
      </c>
      <c r="D20" s="14" t="n">
        <v>21066</v>
      </c>
      <c r="E20" s="14" t="n">
        <v>20402</v>
      </c>
      <c r="F20" s="14" t="n">
        <v>21554</v>
      </c>
      <c r="G20" s="14" t="n">
        <v>25787</v>
      </c>
      <c r="H20" s="14" t="n">
        <v>28813</v>
      </c>
      <c r="I20" s="14" t="n">
        <v>29521</v>
      </c>
    </row>
    <row r="21" customFormat="false" ht="15" hidden="false" customHeight="false" outlineLevel="0" collapsed="false">
      <c r="A21" s="13" t="s">
        <v>37</v>
      </c>
      <c r="B21" s="13" t="s">
        <v>61</v>
      </c>
      <c r="D21" s="14" t="n">
        <v>68740</v>
      </c>
      <c r="E21" s="14" t="n">
        <v>70506</v>
      </c>
      <c r="F21" s="14" t="n">
        <v>73077</v>
      </c>
      <c r="G21" s="14" t="n">
        <v>78489</v>
      </c>
      <c r="H21" s="14" t="n">
        <v>79863</v>
      </c>
      <c r="I21" s="14" t="n">
        <v>79738</v>
      </c>
    </row>
    <row r="22" customFormat="false" ht="15" hidden="false" customHeight="false" outlineLevel="0" collapsed="false">
      <c r="A22" s="13" t="s">
        <v>37</v>
      </c>
      <c r="B22" s="13" t="s">
        <v>62</v>
      </c>
      <c r="D22" s="14" t="n">
        <v>51443</v>
      </c>
      <c r="E22" s="14" t="n">
        <v>51473</v>
      </c>
      <c r="F22" s="14" t="n">
        <v>52678</v>
      </c>
      <c r="G22" s="14" t="n">
        <v>53744</v>
      </c>
      <c r="H22" s="14" t="n">
        <v>54335</v>
      </c>
      <c r="I22" s="14" t="n">
        <v>57428</v>
      </c>
    </row>
    <row r="23" customFormat="false" ht="15" hidden="false" customHeight="false" outlineLevel="0" collapsed="false">
      <c r="A23" s="13" t="s">
        <v>37</v>
      </c>
      <c r="B23" s="13" t="s">
        <v>63</v>
      </c>
      <c r="D23" s="14" t="n">
        <v>745</v>
      </c>
      <c r="E23" s="14" t="n">
        <v>1313</v>
      </c>
      <c r="F23" s="14" t="n">
        <v>1132</v>
      </c>
      <c r="G23" s="14" t="n">
        <v>1025</v>
      </c>
      <c r="H23" s="14" t="n">
        <v>1009</v>
      </c>
      <c r="I23" s="14" t="n">
        <v>880</v>
      </c>
    </row>
    <row r="24" customFormat="false" ht="15" hidden="false" customHeight="false" outlineLevel="0" collapsed="false">
      <c r="A24" s="13" t="s">
        <v>37</v>
      </c>
      <c r="B24" s="13" t="s">
        <v>64</v>
      </c>
      <c r="D24" s="14" t="n">
        <v>2709</v>
      </c>
      <c r="E24" s="14" t="n">
        <v>3521</v>
      </c>
      <c r="F24" s="14" t="n">
        <v>2882</v>
      </c>
      <c r="G24" s="14" t="n">
        <v>4625</v>
      </c>
      <c r="H24" s="14" t="n">
        <v>3810</v>
      </c>
      <c r="I24" s="14" t="n">
        <v>4359</v>
      </c>
    </row>
    <row r="25" customFormat="false" ht="15" hidden="false" customHeight="false" outlineLevel="0" collapsed="false">
      <c r="A25" s="13" t="s">
        <v>37</v>
      </c>
      <c r="B25" s="13" t="s">
        <v>65</v>
      </c>
      <c r="D25" s="14" t="n">
        <v>13843</v>
      </c>
      <c r="E25" s="14" t="n">
        <v>14199</v>
      </c>
      <c r="F25" s="14" t="n">
        <v>16385</v>
      </c>
      <c r="G25" s="14" t="n">
        <v>19095</v>
      </c>
      <c r="H25" s="14" t="n">
        <v>20709</v>
      </c>
      <c r="I25" s="14" t="n">
        <v>17071</v>
      </c>
    </row>
    <row r="26" customFormat="false" ht="15" hidden="false" customHeight="false" outlineLevel="0" collapsed="false">
      <c r="A26" s="13" t="s">
        <v>37</v>
      </c>
      <c r="B26" s="13" t="s">
        <v>66</v>
      </c>
      <c r="D26" s="17" t="n">
        <f aca="false">D22+D23+D24+D25</f>
        <v>68740</v>
      </c>
      <c r="E26" s="17" t="n">
        <f aca="false">E22+E23+E24+E25</f>
        <v>70506</v>
      </c>
      <c r="F26" s="17" t="n">
        <f aca="false">F22+F23+F24+F25</f>
        <v>73077</v>
      </c>
      <c r="G26" s="17" t="n">
        <f aca="false">G22+G23+G24+G25</f>
        <v>78489</v>
      </c>
      <c r="H26" s="17" t="n">
        <f aca="false">H22+H23+H24+H25</f>
        <v>79863</v>
      </c>
      <c r="I26" s="17" t="n">
        <f aca="false">I22+I23+I24+I25</f>
        <v>79738</v>
      </c>
    </row>
    <row r="27" customFormat="false" ht="15" hidden="false" customHeight="false" outlineLevel="0" collapsed="false">
      <c r="A27" s="10" t="s">
        <v>37</v>
      </c>
      <c r="B27" s="11" t="s">
        <v>67</v>
      </c>
      <c r="C27" s="12"/>
      <c r="D27" s="12"/>
      <c r="E27" s="12"/>
      <c r="F27" s="12"/>
      <c r="G27" s="12"/>
      <c r="H27" s="12"/>
      <c r="I27" s="12"/>
    </row>
    <row r="28" customFormat="false" ht="15" hidden="false" customHeight="false" outlineLevel="0" collapsed="false">
      <c r="A28" s="13" t="s">
        <v>37</v>
      </c>
      <c r="B28" s="13" t="s">
        <v>68</v>
      </c>
      <c r="D28" s="14" t="n">
        <v>9163</v>
      </c>
      <c r="E28" s="14" t="n">
        <v>9048</v>
      </c>
      <c r="F28" s="14" t="n">
        <v>9991</v>
      </c>
      <c r="G28" s="14" t="n">
        <v>15469</v>
      </c>
      <c r="H28" s="14" t="n">
        <v>11886</v>
      </c>
      <c r="I28" s="14" t="n">
        <v>10999</v>
      </c>
    </row>
    <row r="29" customFormat="false" ht="15" hidden="false" customHeight="false" outlineLevel="0" collapsed="false">
      <c r="A29" s="13" t="s">
        <v>37</v>
      </c>
      <c r="B29" s="13" t="s">
        <v>69</v>
      </c>
      <c r="D29" s="14" t="n">
        <v>-1228</v>
      </c>
      <c r="E29" s="14" t="n">
        <v>-1728</v>
      </c>
      <c r="F29" s="14" t="n">
        <v>-1484</v>
      </c>
      <c r="G29" s="14" t="n">
        <v>-5324</v>
      </c>
      <c r="H29" s="14" t="n">
        <v>6473</v>
      </c>
      <c r="I29" s="14" t="n">
        <v>-3676</v>
      </c>
    </row>
    <row r="30" customFormat="false" ht="15" hidden="false" customHeight="false" outlineLevel="0" collapsed="false">
      <c r="A30" s="13" t="s">
        <v>37</v>
      </c>
      <c r="B30" s="13" t="s">
        <v>70</v>
      </c>
      <c r="D30" s="14" t="n">
        <v>-9309</v>
      </c>
      <c r="E30" s="14" t="n">
        <v>-8015</v>
      </c>
      <c r="F30" s="14" t="n">
        <v>-8953</v>
      </c>
      <c r="G30" s="14" t="n">
        <v>-10034</v>
      </c>
      <c r="H30" s="14" t="n">
        <v>-13101</v>
      </c>
      <c r="I30" s="14" t="n">
        <v>-10810</v>
      </c>
    </row>
    <row r="31" customFormat="false" ht="15" hidden="false" customHeight="false" outlineLevel="0" collapsed="false">
      <c r="A31" s="13" t="s">
        <v>37</v>
      </c>
      <c r="B31" s="13" t="s">
        <v>71</v>
      </c>
      <c r="D31" s="14" t="n">
        <v>5097</v>
      </c>
      <c r="E31" s="14" t="n">
        <v>7995</v>
      </c>
      <c r="F31" s="14" t="n">
        <v>8980</v>
      </c>
      <c r="G31" s="14" t="n">
        <v>14012</v>
      </c>
      <c r="H31" s="14" t="n">
        <v>10624</v>
      </c>
      <c r="I31" s="14" t="n">
        <v>9667</v>
      </c>
    </row>
    <row r="32" customFormat="false" ht="15" hidden="false" customHeight="false" outlineLevel="0" collapsed="false">
      <c r="A32" s="10" t="s">
        <v>37</v>
      </c>
      <c r="B32" s="11" t="s">
        <v>72</v>
      </c>
      <c r="C32" s="12"/>
      <c r="D32" s="12"/>
      <c r="E32" s="12"/>
      <c r="F32" s="12"/>
      <c r="G32" s="12"/>
      <c r="H32" s="12"/>
      <c r="I32" s="12"/>
    </row>
    <row r="33" customFormat="false" ht="15" hidden="false" customHeight="false" outlineLevel="0" collapsed="false">
      <c r="A33" s="13" t="s">
        <v>37</v>
      </c>
      <c r="B33" s="13" t="s">
        <v>73</v>
      </c>
      <c r="D33" s="18" t="n">
        <v>14</v>
      </c>
      <c r="E33" s="18" t="n">
        <v>16</v>
      </c>
      <c r="F33" s="18" t="n">
        <v>19</v>
      </c>
      <c r="G33" s="18" t="n">
        <v>18</v>
      </c>
      <c r="H33" s="18" t="n">
        <v>23</v>
      </c>
      <c r="I33" s="18" t="n">
        <v>19</v>
      </c>
    </row>
    <row r="34" customFormat="false" ht="15" hidden="false" customHeight="false" outlineLevel="0" collapsed="false">
      <c r="A34" s="13" t="s">
        <v>37</v>
      </c>
      <c r="B34" s="13" t="s">
        <v>74</v>
      </c>
      <c r="D34" s="18" t="n">
        <v>66</v>
      </c>
      <c r="E34" s="18" t="n">
        <v>65</v>
      </c>
      <c r="F34" s="18" t="n">
        <v>55</v>
      </c>
      <c r="G34" s="18" t="n">
        <v>55</v>
      </c>
      <c r="H34" s="18" t="n">
        <v>61</v>
      </c>
      <c r="I34" s="18" t="n">
        <v>61</v>
      </c>
    </row>
    <row r="35" customFormat="false" ht="15" hidden="false" customHeight="false" outlineLevel="0" collapsed="false">
      <c r="A35" s="13" t="s">
        <v>37</v>
      </c>
      <c r="B35" s="13" t="s">
        <v>75</v>
      </c>
      <c r="D35" s="18" t="n">
        <v>163</v>
      </c>
      <c r="E35" s="18" t="n">
        <v>145</v>
      </c>
      <c r="F35" s="18" t="n">
        <v>123</v>
      </c>
      <c r="G35" s="18" t="n">
        <v>143</v>
      </c>
      <c r="H35" s="18" t="n">
        <v>156</v>
      </c>
      <c r="I35" s="18" t="n">
        <v>169</v>
      </c>
    </row>
    <row r="36" customFormat="false" ht="15" hidden="false" customHeight="false" outlineLevel="0" collapsed="false">
      <c r="A36" s="10" t="s">
        <v>37</v>
      </c>
      <c r="B36" s="11" t="s">
        <v>76</v>
      </c>
      <c r="C36" s="12"/>
      <c r="D36" s="12"/>
      <c r="E36" s="12"/>
      <c r="F36" s="12"/>
      <c r="G36" s="12"/>
      <c r="H36" s="12"/>
      <c r="I36" s="12"/>
    </row>
    <row r="37" customFormat="false" ht="15" hidden="false" customHeight="false" outlineLevel="0" collapsed="false">
      <c r="A37" s="13" t="s">
        <v>37</v>
      </c>
      <c r="B37" s="13" t="s">
        <v>77</v>
      </c>
      <c r="D37" s="17" t="n">
        <f aca="false">D17+D18</f>
        <v>47674</v>
      </c>
      <c r="E37" s="17" t="n">
        <f aca="false">E17+E18</f>
        <v>49061</v>
      </c>
      <c r="F37" s="17" t="n">
        <f aca="false">F17+F18</f>
        <v>50304</v>
      </c>
      <c r="G37" s="17" t="n">
        <f aca="false">G17+G18</f>
        <v>51218</v>
      </c>
      <c r="H37" s="17" t="n">
        <f aca="false">H17+H18</f>
        <v>49402</v>
      </c>
      <c r="I37" s="17" t="n">
        <f aca="false">I17+I18</f>
        <v>48739</v>
      </c>
    </row>
    <row r="38" customFormat="false" ht="15" hidden="false" customHeight="false" outlineLevel="0" collapsed="false">
      <c r="A38" s="13" t="s">
        <v>37</v>
      </c>
      <c r="B38" s="13" t="s">
        <v>78</v>
      </c>
      <c r="D38" s="17" t="n">
        <f aca="false">D12+D10</f>
        <v>10722</v>
      </c>
      <c r="E38" s="17" t="n">
        <f aca="false">E12+E10</f>
        <v>11985</v>
      </c>
      <c r="F38" s="17" t="n">
        <f aca="false">F12+F10</f>
        <v>13458</v>
      </c>
      <c r="G38" s="17" t="n">
        <f aca="false">G12+G10</f>
        <v>14260</v>
      </c>
      <c r="H38" s="17" t="n">
        <f aca="false">H12+H10</f>
        <v>14800</v>
      </c>
      <c r="I38" s="17" t="n">
        <f aca="false">I12+I10</f>
        <v>18629</v>
      </c>
    </row>
    <row r="39" customFormat="false" ht="15" hidden="false" customHeight="false" outlineLevel="0" collapsed="false">
      <c r="A39" s="13" t="s">
        <v>37</v>
      </c>
      <c r="B39" s="13" t="s">
        <v>79</v>
      </c>
      <c r="D39" s="17" t="n">
        <f aca="false">D37+D19</f>
        <v>47674</v>
      </c>
      <c r="E39" s="17" t="n">
        <f aca="false">E37+E19</f>
        <v>50104</v>
      </c>
      <c r="F39" s="17" t="n">
        <f aca="false">F37+F19</f>
        <v>51523</v>
      </c>
      <c r="G39" s="17" t="n">
        <f aca="false">G37+G19</f>
        <v>52702</v>
      </c>
      <c r="H39" s="17" t="n">
        <f aca="false">H37+H19</f>
        <v>51050</v>
      </c>
      <c r="I39" s="17" t="n">
        <f aca="false">I37+I19</f>
        <v>50217</v>
      </c>
    </row>
    <row r="40" customFormat="false" ht="15" hidden="false" customHeight="false" outlineLevel="0" collapsed="false">
      <c r="A40" s="13" t="s">
        <v>37</v>
      </c>
      <c r="B40" s="13" t="s">
        <v>80</v>
      </c>
      <c r="D40" s="17" t="n">
        <f aca="false">D26-D21</f>
        <v>0</v>
      </c>
      <c r="E40" s="17" t="n">
        <f aca="false">E26-E21</f>
        <v>0</v>
      </c>
      <c r="F40" s="17" t="n">
        <f aca="false">F26-F21</f>
        <v>0</v>
      </c>
      <c r="G40" s="17" t="n">
        <f aca="false">G26-G21</f>
        <v>0</v>
      </c>
      <c r="H40" s="17" t="n">
        <f aca="false">H26-H21</f>
        <v>0</v>
      </c>
      <c r="I40" s="17" t="n">
        <f aca="false">I26-I21</f>
        <v>0</v>
      </c>
    </row>
    <row r="42" customFormat="false" ht="15" hidden="false" customHeight="false" outlineLevel="0" collapsed="false">
      <c r="A42" s="8" t="s">
        <v>81</v>
      </c>
      <c r="B42" s="8" t="s">
        <v>38</v>
      </c>
      <c r="C42" s="8"/>
      <c r="D42" s="9" t="s">
        <v>39</v>
      </c>
      <c r="E42" s="9" t="s">
        <v>40</v>
      </c>
      <c r="F42" s="9" t="s">
        <v>41</v>
      </c>
      <c r="G42" s="9" t="s">
        <v>42</v>
      </c>
      <c r="H42" s="9" t="s">
        <v>43</v>
      </c>
      <c r="I42" s="9" t="s">
        <v>44</v>
      </c>
    </row>
    <row r="43" customFormat="false" ht="15" hidden="false" customHeight="false" outlineLevel="0" collapsed="false">
      <c r="A43" s="10" t="s">
        <v>81</v>
      </c>
      <c r="B43" s="11" t="s">
        <v>45</v>
      </c>
      <c r="C43" s="12"/>
      <c r="D43" s="12"/>
      <c r="E43" s="12"/>
      <c r="F43" s="12"/>
      <c r="G43" s="12"/>
      <c r="H43" s="12"/>
      <c r="I43" s="12"/>
    </row>
    <row r="44" customFormat="false" ht="15" hidden="false" customHeight="false" outlineLevel="0" collapsed="false">
      <c r="A44" s="13" t="s">
        <v>81</v>
      </c>
      <c r="B44" s="13" t="s">
        <v>46</v>
      </c>
      <c r="D44" s="14" t="n">
        <v>49257</v>
      </c>
      <c r="E44" s="14" t="n">
        <v>60645</v>
      </c>
      <c r="F44" s="14" t="n">
        <v>70919</v>
      </c>
      <c r="G44" s="14" t="n">
        <v>67932</v>
      </c>
      <c r="H44" s="14" t="n">
        <v>75323</v>
      </c>
      <c r="I44" s="14" t="n">
        <v>78868</v>
      </c>
    </row>
    <row r="45" customFormat="false" ht="15" hidden="false" customHeight="false" outlineLevel="0" collapsed="false">
      <c r="A45" s="13" t="s">
        <v>81</v>
      </c>
      <c r="B45" s="13" t="s">
        <v>47</v>
      </c>
      <c r="D45" s="14" t="n">
        <v>32193</v>
      </c>
      <c r="E45" s="14" t="n">
        <v>40021</v>
      </c>
      <c r="F45" s="14" t="n">
        <v>45215</v>
      </c>
      <c r="G45" s="14" t="n">
        <v>42744</v>
      </c>
      <c r="H45" s="14" t="n">
        <v>49492</v>
      </c>
      <c r="I45" s="14" t="n">
        <v>51562</v>
      </c>
    </row>
    <row r="46" customFormat="false" ht="15" hidden="false" customHeight="false" outlineLevel="0" collapsed="false">
      <c r="A46" s="13" t="s">
        <v>81</v>
      </c>
      <c r="B46" s="13" t="s">
        <v>48</v>
      </c>
      <c r="D46" s="14" t="n">
        <v>17065</v>
      </c>
      <c r="E46" s="14" t="n">
        <v>20623</v>
      </c>
      <c r="F46" s="14" t="n">
        <v>25704</v>
      </c>
      <c r="G46" s="14" t="n">
        <v>25188</v>
      </c>
      <c r="H46" s="14" t="n">
        <v>25832</v>
      </c>
      <c r="I46" s="14" t="n">
        <v>27306</v>
      </c>
    </row>
    <row r="47" customFormat="false" ht="15" hidden="false" customHeight="false" outlineLevel="0" collapsed="false">
      <c r="A47" s="13" t="s">
        <v>81</v>
      </c>
      <c r="B47" s="13" t="s">
        <v>49</v>
      </c>
      <c r="D47" s="14" t="n">
        <v>2577</v>
      </c>
      <c r="E47" s="14" t="n">
        <v>1910</v>
      </c>
      <c r="F47" s="14" t="n">
        <v>2098</v>
      </c>
      <c r="G47" s="14" t="n">
        <v>3330</v>
      </c>
      <c r="H47" s="14" t="n">
        <v>17803</v>
      </c>
      <c r="I47" s="14" t="n">
        <v>2523</v>
      </c>
    </row>
    <row r="48" customFormat="false" ht="15" hidden="false" customHeight="false" outlineLevel="0" collapsed="false">
      <c r="A48" s="13" t="s">
        <v>81</v>
      </c>
      <c r="B48" s="13" t="s">
        <v>50</v>
      </c>
      <c r="D48" s="14" t="n">
        <v>58</v>
      </c>
      <c r="E48" s="14" t="n">
        <v>60</v>
      </c>
      <c r="F48" s="14" t="n">
        <v>78</v>
      </c>
      <c r="G48" s="14" t="n">
        <v>39</v>
      </c>
      <c r="H48" s="14" t="n">
        <v>45</v>
      </c>
      <c r="I48" s="14" t="n">
        <v>85</v>
      </c>
    </row>
    <row r="49" customFormat="false" ht="15" hidden="false" customHeight="false" outlineLevel="0" collapsed="false">
      <c r="A49" s="13" t="s">
        <v>81</v>
      </c>
      <c r="B49" s="13" t="s">
        <v>51</v>
      </c>
      <c r="D49" s="14" t="n">
        <v>1646</v>
      </c>
      <c r="E49" s="14" t="n">
        <v>1732</v>
      </c>
      <c r="F49" s="14" t="n">
        <v>1809</v>
      </c>
      <c r="G49" s="14" t="n">
        <v>1518</v>
      </c>
      <c r="H49" s="14" t="n">
        <v>1646</v>
      </c>
      <c r="I49" s="14" t="n">
        <v>1711</v>
      </c>
    </row>
    <row r="50" customFormat="false" ht="15" hidden="false" customHeight="false" outlineLevel="0" collapsed="false">
      <c r="A50" s="13" t="s">
        <v>81</v>
      </c>
      <c r="B50" s="13" t="s">
        <v>52</v>
      </c>
      <c r="D50" s="14" t="n">
        <v>17938</v>
      </c>
      <c r="E50" s="14" t="n">
        <v>20740</v>
      </c>
      <c r="F50" s="14" t="n">
        <v>25915</v>
      </c>
      <c r="G50" s="14" t="n">
        <v>26961</v>
      </c>
      <c r="H50" s="14" t="n">
        <v>41943</v>
      </c>
      <c r="I50" s="14" t="n">
        <v>28033</v>
      </c>
    </row>
    <row r="51" customFormat="false" ht="15" hidden="false" customHeight="false" outlineLevel="0" collapsed="false">
      <c r="A51" s="13" t="s">
        <v>81</v>
      </c>
      <c r="B51" s="13" t="s">
        <v>53</v>
      </c>
      <c r="D51" s="14" t="n">
        <v>13383</v>
      </c>
      <c r="E51" s="14" t="n">
        <v>15503</v>
      </c>
      <c r="F51" s="14" t="n">
        <v>19477</v>
      </c>
      <c r="G51" s="14" t="n">
        <v>20751</v>
      </c>
      <c r="H51" s="14" t="n">
        <v>35052</v>
      </c>
      <c r="I51" s="14" t="n">
        <v>21018</v>
      </c>
    </row>
    <row r="52" customFormat="false" ht="15" hidden="false" customHeight="false" outlineLevel="0" collapsed="false">
      <c r="A52" s="13" t="s">
        <v>81</v>
      </c>
      <c r="B52" s="13" t="s">
        <v>54</v>
      </c>
      <c r="D52" s="15" t="n">
        <v>10.69</v>
      </c>
      <c r="E52" s="15" t="n">
        <v>12.37</v>
      </c>
      <c r="F52" s="15" t="n">
        <v>15.44</v>
      </c>
      <c r="G52" s="15" t="n">
        <v>16.39</v>
      </c>
      <c r="H52" s="15" t="n">
        <v>27.77</v>
      </c>
      <c r="I52" s="15" t="n">
        <v>16.51</v>
      </c>
    </row>
    <row r="53" customFormat="false" ht="15" hidden="false" customHeight="false" outlineLevel="0" collapsed="false">
      <c r="A53" s="13" t="s">
        <v>81</v>
      </c>
      <c r="B53" s="13" t="s">
        <v>55</v>
      </c>
      <c r="D53" s="16" t="n">
        <v>1.01</v>
      </c>
      <c r="E53" s="16" t="n">
        <v>0.93</v>
      </c>
      <c r="F53" s="16" t="n">
        <v>1</v>
      </c>
      <c r="G53" s="16" t="n">
        <v>0.84</v>
      </c>
      <c r="H53" s="16" t="n">
        <v>0.52</v>
      </c>
      <c r="I53" s="16" t="n">
        <v>0.88</v>
      </c>
    </row>
    <row r="54" customFormat="false" ht="15" hidden="false" customHeight="false" outlineLevel="0" collapsed="false">
      <c r="A54" s="10" t="s">
        <v>81</v>
      </c>
      <c r="B54" s="11" t="s">
        <v>56</v>
      </c>
      <c r="C54" s="12"/>
      <c r="D54" s="12"/>
      <c r="E54" s="12"/>
      <c r="F54" s="12"/>
      <c r="G54" s="12"/>
      <c r="H54" s="12"/>
      <c r="I54" s="12"/>
    </row>
    <row r="55" customFormat="false" ht="15" hidden="false" customHeight="false" outlineLevel="0" collapsed="false">
      <c r="A55" s="13" t="s">
        <v>81</v>
      </c>
      <c r="B55" s="13" t="s">
        <v>57</v>
      </c>
      <c r="D55" s="14" t="n">
        <v>1231</v>
      </c>
      <c r="E55" s="14" t="n">
        <v>1232</v>
      </c>
      <c r="F55" s="14" t="n">
        <v>1243</v>
      </c>
      <c r="G55" s="14" t="n">
        <v>1248</v>
      </c>
      <c r="H55" s="14" t="n">
        <v>1251</v>
      </c>
      <c r="I55" s="14" t="n">
        <v>1253</v>
      </c>
    </row>
    <row r="56" customFormat="false" ht="15" hidden="false" customHeight="false" outlineLevel="0" collapsed="false">
      <c r="A56" s="13" t="s">
        <v>81</v>
      </c>
      <c r="B56" s="13" t="s">
        <v>58</v>
      </c>
      <c r="D56" s="14" t="n">
        <v>59116</v>
      </c>
      <c r="E56" s="14" t="n">
        <v>61223</v>
      </c>
      <c r="F56" s="14" t="n">
        <v>67912</v>
      </c>
      <c r="G56" s="14" t="n">
        <v>73259</v>
      </c>
      <c r="H56" s="14" t="n">
        <v>68779</v>
      </c>
      <c r="I56" s="14" t="n">
        <v>71254</v>
      </c>
    </row>
    <row r="57" customFormat="false" ht="15" hidden="false" customHeight="false" outlineLevel="0" collapsed="false">
      <c r="A57" s="13" t="s">
        <v>81</v>
      </c>
      <c r="B57" s="13" t="s">
        <v>59</v>
      </c>
      <c r="D57" s="14" t="n">
        <v>271</v>
      </c>
      <c r="E57" s="14" t="n">
        <v>249</v>
      </c>
      <c r="F57" s="14" t="n">
        <v>306</v>
      </c>
      <c r="G57" s="14" t="n">
        <v>303</v>
      </c>
      <c r="H57" s="14" t="n">
        <v>285</v>
      </c>
      <c r="I57" s="14" t="n">
        <v>2399</v>
      </c>
    </row>
    <row r="58" customFormat="false" ht="15" hidden="false" customHeight="false" outlineLevel="0" collapsed="false">
      <c r="A58" s="13" t="s">
        <v>81</v>
      </c>
      <c r="B58" s="13" t="s">
        <v>60</v>
      </c>
      <c r="D58" s="14" t="n">
        <v>13143</v>
      </c>
      <c r="E58" s="14" t="n">
        <v>14491</v>
      </c>
      <c r="F58" s="14" t="n">
        <v>16370</v>
      </c>
      <c r="G58" s="14" t="n">
        <v>16944</v>
      </c>
      <c r="H58" s="14" t="n">
        <v>17688</v>
      </c>
      <c r="I58" s="14" t="n">
        <v>18731</v>
      </c>
    </row>
    <row r="59" customFormat="false" ht="15" hidden="false" customHeight="false" outlineLevel="0" collapsed="false">
      <c r="A59" s="13" t="s">
        <v>81</v>
      </c>
      <c r="B59" s="13" t="s">
        <v>61</v>
      </c>
      <c r="D59" s="14" t="n">
        <v>73761</v>
      </c>
      <c r="E59" s="14" t="n">
        <v>77196</v>
      </c>
      <c r="F59" s="14" t="n">
        <v>85831</v>
      </c>
      <c r="G59" s="14" t="n">
        <v>91754</v>
      </c>
      <c r="H59" s="14" t="n">
        <v>88003</v>
      </c>
      <c r="I59" s="14" t="n">
        <v>93637</v>
      </c>
    </row>
    <row r="60" customFormat="false" ht="15" hidden="false" customHeight="false" outlineLevel="0" collapsed="false">
      <c r="A60" s="13" t="s">
        <v>81</v>
      </c>
      <c r="B60" s="13" t="s">
        <v>62</v>
      </c>
      <c r="D60" s="14" t="n">
        <v>23298</v>
      </c>
      <c r="E60" s="14" t="n">
        <v>24232</v>
      </c>
      <c r="F60" s="14" t="n">
        <v>25851</v>
      </c>
      <c r="G60" s="14" t="n">
        <v>27820</v>
      </c>
      <c r="H60" s="14" t="n">
        <v>21955</v>
      </c>
      <c r="I60" s="14" t="n">
        <v>22443</v>
      </c>
    </row>
    <row r="61" customFormat="false" ht="15" hidden="false" customHeight="false" outlineLevel="0" collapsed="false">
      <c r="A61" s="13" t="s">
        <v>81</v>
      </c>
      <c r="B61" s="13" t="s">
        <v>63</v>
      </c>
      <c r="D61" s="14" t="n">
        <v>4011</v>
      </c>
      <c r="E61" s="14" t="n">
        <v>3226</v>
      </c>
      <c r="F61" s="14" t="n">
        <v>3003</v>
      </c>
      <c r="G61" s="14" t="n">
        <v>2861</v>
      </c>
      <c r="H61" s="14" t="n">
        <v>1091</v>
      </c>
      <c r="I61" s="14" t="n">
        <v>1602</v>
      </c>
    </row>
    <row r="62" customFormat="false" ht="15" hidden="false" customHeight="false" outlineLevel="0" collapsed="false">
      <c r="A62" s="13" t="s">
        <v>81</v>
      </c>
      <c r="B62" s="13" t="s">
        <v>64</v>
      </c>
      <c r="D62" s="14" t="n">
        <v>24871</v>
      </c>
      <c r="E62" s="14" t="n">
        <v>24841</v>
      </c>
      <c r="F62" s="14" t="n">
        <v>29415</v>
      </c>
      <c r="G62" s="14" t="n">
        <v>31114</v>
      </c>
      <c r="H62" s="14" t="n">
        <v>34720</v>
      </c>
      <c r="I62" s="14" t="n">
        <v>38128</v>
      </c>
    </row>
    <row r="63" customFormat="false" ht="15" hidden="false" customHeight="false" outlineLevel="0" collapsed="false">
      <c r="A63" s="13" t="s">
        <v>81</v>
      </c>
      <c r="B63" s="13" t="s">
        <v>65</v>
      </c>
      <c r="D63" s="14" t="n">
        <v>21580</v>
      </c>
      <c r="E63" s="14" t="n">
        <v>24898</v>
      </c>
      <c r="F63" s="14" t="n">
        <v>27561</v>
      </c>
      <c r="G63" s="14" t="n">
        <v>29959</v>
      </c>
      <c r="H63" s="14" t="n">
        <v>30237</v>
      </c>
      <c r="I63" s="14" t="n">
        <v>31464</v>
      </c>
    </row>
    <row r="64" customFormat="false" ht="15" hidden="false" customHeight="false" outlineLevel="0" collapsed="false">
      <c r="A64" s="13" t="s">
        <v>81</v>
      </c>
      <c r="B64" s="13" t="s">
        <v>66</v>
      </c>
      <c r="D64" s="17" t="n">
        <f aca="false">D60+D61+D62+D63</f>
        <v>73760</v>
      </c>
      <c r="E64" s="17" t="n">
        <f aca="false">E60+E61+E62+E63</f>
        <v>77197</v>
      </c>
      <c r="F64" s="17" t="n">
        <f aca="false">F60+F61+F62+F63</f>
        <v>85830</v>
      </c>
      <c r="G64" s="17" t="n">
        <f aca="false">G60+G61+G62+G63</f>
        <v>91754</v>
      </c>
      <c r="H64" s="17" t="n">
        <f aca="false">H60+H61+H62+H63</f>
        <v>88003</v>
      </c>
      <c r="I64" s="17" t="n">
        <f aca="false">I60+I61+I62+I63</f>
        <v>93637</v>
      </c>
    </row>
    <row r="65" customFormat="false" ht="15" hidden="false" customHeight="false" outlineLevel="0" collapsed="false">
      <c r="A65" s="10" t="s">
        <v>81</v>
      </c>
      <c r="B65" s="11" t="s">
        <v>67</v>
      </c>
      <c r="C65" s="12"/>
      <c r="D65" s="12"/>
      <c r="E65" s="12"/>
      <c r="F65" s="12"/>
      <c r="G65" s="12"/>
      <c r="H65" s="12"/>
      <c r="I65" s="12"/>
    </row>
    <row r="66" customFormat="false" ht="15" hidden="false" customHeight="false" outlineLevel="0" collapsed="false">
      <c r="A66" s="13" t="s">
        <v>81</v>
      </c>
      <c r="B66" s="13" t="s">
        <v>68</v>
      </c>
      <c r="D66" s="14" t="n">
        <v>12527</v>
      </c>
      <c r="E66" s="14" t="n">
        <v>15776</v>
      </c>
      <c r="F66" s="14" t="n">
        <v>18878</v>
      </c>
      <c r="G66" s="14" t="n">
        <v>17179</v>
      </c>
      <c r="H66" s="14" t="n">
        <v>17627</v>
      </c>
      <c r="I66" s="14" t="n">
        <v>18464</v>
      </c>
    </row>
    <row r="67" customFormat="false" ht="15" hidden="false" customHeight="false" outlineLevel="0" collapsed="false">
      <c r="A67" s="13" t="s">
        <v>81</v>
      </c>
      <c r="B67" s="13" t="s">
        <v>69</v>
      </c>
      <c r="D67" s="14" t="n">
        <v>5740</v>
      </c>
      <c r="E67" s="14" t="n">
        <v>-2238</v>
      </c>
      <c r="F67" s="14" t="n">
        <v>-5732</v>
      </c>
      <c r="G67" s="14" t="n">
        <v>1563</v>
      </c>
      <c r="H67" s="14" t="n">
        <v>-564</v>
      </c>
      <c r="I67" s="14" t="n">
        <v>-2321</v>
      </c>
    </row>
    <row r="68" customFormat="false" ht="15" hidden="false" customHeight="false" outlineLevel="0" collapsed="false">
      <c r="A68" s="13" t="s">
        <v>81</v>
      </c>
      <c r="B68" s="13" t="s">
        <v>70</v>
      </c>
      <c r="D68" s="14" t="n">
        <v>-18634</v>
      </c>
      <c r="E68" s="14" t="n">
        <v>-13580</v>
      </c>
      <c r="F68" s="14" t="n">
        <v>-13006</v>
      </c>
      <c r="G68" s="14" t="n">
        <v>-18551</v>
      </c>
      <c r="H68" s="14" t="n">
        <v>-17037</v>
      </c>
      <c r="I68" s="14" t="n">
        <v>-16147</v>
      </c>
    </row>
    <row r="69" customFormat="false" ht="15" hidden="false" customHeight="false" outlineLevel="0" collapsed="false">
      <c r="A69" s="13" t="s">
        <v>81</v>
      </c>
      <c r="B69" s="13" t="s">
        <v>71</v>
      </c>
      <c r="D69" s="14" t="n">
        <v>10693</v>
      </c>
      <c r="E69" s="14" t="n">
        <v>13767</v>
      </c>
      <c r="F69" s="14" t="n">
        <v>16184</v>
      </c>
      <c r="G69" s="14" t="n">
        <v>13724</v>
      </c>
      <c r="H69" s="14" t="n">
        <v>15524</v>
      </c>
      <c r="I69" s="14" t="n">
        <v>16332</v>
      </c>
    </row>
    <row r="70" customFormat="false" ht="15" hidden="false" customHeight="false" outlineLevel="0" collapsed="false">
      <c r="A70" s="10" t="s">
        <v>81</v>
      </c>
      <c r="B70" s="11" t="s">
        <v>72</v>
      </c>
      <c r="C70" s="12"/>
      <c r="D70" s="12"/>
      <c r="E70" s="12"/>
      <c r="F70" s="12"/>
      <c r="G70" s="12"/>
      <c r="H70" s="12"/>
      <c r="I70" s="12"/>
    </row>
    <row r="71" customFormat="false" ht="15" hidden="false" customHeight="false" outlineLevel="0" collapsed="false">
      <c r="A71" s="13" t="s">
        <v>81</v>
      </c>
      <c r="B71" s="13" t="s">
        <v>73</v>
      </c>
      <c r="D71" s="18" t="n">
        <v>19</v>
      </c>
      <c r="E71" s="18" t="n">
        <v>15</v>
      </c>
      <c r="F71" s="18" t="n">
        <v>15</v>
      </c>
      <c r="G71" s="18" t="n">
        <v>22</v>
      </c>
      <c r="H71" s="18" t="n">
        <v>23</v>
      </c>
      <c r="I71" s="18" t="n">
        <v>18</v>
      </c>
    </row>
    <row r="72" customFormat="false" ht="15" hidden="false" customHeight="false" outlineLevel="0" collapsed="false">
      <c r="A72" s="13" t="s">
        <v>81</v>
      </c>
      <c r="B72" s="13" t="s">
        <v>74</v>
      </c>
      <c r="D72" s="18" t="n">
        <v>189</v>
      </c>
      <c r="E72" s="18" t="n">
        <v>150</v>
      </c>
      <c r="F72" s="18" t="n">
        <v>148</v>
      </c>
      <c r="G72" s="18" t="n">
        <v>191</v>
      </c>
      <c r="H72" s="18" t="n">
        <v>178</v>
      </c>
      <c r="I72" s="18" t="n">
        <v>209</v>
      </c>
    </row>
    <row r="73" customFormat="false" ht="15" hidden="false" customHeight="false" outlineLevel="0" collapsed="false">
      <c r="A73" s="13" t="s">
        <v>81</v>
      </c>
      <c r="B73" s="13" t="s">
        <v>75</v>
      </c>
      <c r="D73" s="18" t="n">
        <v>78</v>
      </c>
      <c r="E73" s="18" t="n">
        <v>61</v>
      </c>
      <c r="F73" s="18" t="n">
        <v>59</v>
      </c>
      <c r="G73" s="18" t="n">
        <v>65</v>
      </c>
      <c r="H73" s="18" t="n">
        <v>55</v>
      </c>
      <c r="I73" s="18" t="n">
        <v>63</v>
      </c>
    </row>
    <row r="74" customFormat="false" ht="15" hidden="false" customHeight="false" outlineLevel="0" collapsed="false">
      <c r="A74" s="10" t="s">
        <v>81</v>
      </c>
      <c r="B74" s="11" t="s">
        <v>76</v>
      </c>
      <c r="C74" s="12"/>
      <c r="D74" s="12"/>
      <c r="E74" s="12"/>
      <c r="F74" s="12"/>
      <c r="G74" s="12"/>
      <c r="H74" s="12"/>
      <c r="I74" s="12"/>
    </row>
    <row r="75" customFormat="false" ht="15" hidden="false" customHeight="false" outlineLevel="0" collapsed="false">
      <c r="A75" s="13" t="s">
        <v>81</v>
      </c>
      <c r="B75" s="13" t="s">
        <v>77</v>
      </c>
      <c r="D75" s="17" t="n">
        <f aca="false">D55+D56</f>
        <v>60347</v>
      </c>
      <c r="E75" s="17" t="n">
        <f aca="false">E55+E56</f>
        <v>62455</v>
      </c>
      <c r="F75" s="17" t="n">
        <f aca="false">F55+F56</f>
        <v>69155</v>
      </c>
      <c r="G75" s="17" t="n">
        <f aca="false">G55+G56</f>
        <v>74507</v>
      </c>
      <c r="H75" s="17" t="n">
        <f aca="false">H55+H56</f>
        <v>70030</v>
      </c>
      <c r="I75" s="17" t="n">
        <f aca="false">I55+I56</f>
        <v>72507</v>
      </c>
    </row>
    <row r="76" customFormat="false" ht="15" hidden="false" customHeight="false" outlineLevel="0" collapsed="false">
      <c r="A76" s="13" t="s">
        <v>81</v>
      </c>
      <c r="B76" s="13" t="s">
        <v>78</v>
      </c>
      <c r="D76" s="17" t="n">
        <f aca="false">D50+D48</f>
        <v>17996</v>
      </c>
      <c r="E76" s="17" t="n">
        <f aca="false">E50+E48</f>
        <v>20800</v>
      </c>
      <c r="F76" s="17" t="n">
        <f aca="false">F50+F48</f>
        <v>25993</v>
      </c>
      <c r="G76" s="17" t="n">
        <f aca="false">G50+G48</f>
        <v>27000</v>
      </c>
      <c r="H76" s="17" t="n">
        <f aca="false">H50+H48</f>
        <v>41988</v>
      </c>
      <c r="I76" s="17" t="n">
        <f aca="false">I50+I48</f>
        <v>28118</v>
      </c>
    </row>
    <row r="77" customFormat="false" ht="15" hidden="false" customHeight="false" outlineLevel="0" collapsed="false">
      <c r="A77" s="13" t="s">
        <v>81</v>
      </c>
      <c r="B77" s="13" t="s">
        <v>79</v>
      </c>
      <c r="D77" s="17" t="n">
        <f aca="false">D75+D57</f>
        <v>60618</v>
      </c>
      <c r="E77" s="17" t="n">
        <f aca="false">E75+E57</f>
        <v>62704</v>
      </c>
      <c r="F77" s="17" t="n">
        <f aca="false">F75+F57</f>
        <v>69461</v>
      </c>
      <c r="G77" s="17" t="n">
        <f aca="false">G75+G57</f>
        <v>74810</v>
      </c>
      <c r="H77" s="17" t="n">
        <f aca="false">H75+H57</f>
        <v>70315</v>
      </c>
      <c r="I77" s="17" t="n">
        <f aca="false">I75+I57</f>
        <v>74906</v>
      </c>
    </row>
    <row r="78" customFormat="false" ht="15" hidden="false" customHeight="false" outlineLevel="0" collapsed="false">
      <c r="A78" s="13" t="s">
        <v>81</v>
      </c>
      <c r="B78" s="13" t="s">
        <v>80</v>
      </c>
      <c r="D78" s="17" t="n">
        <f aca="false">D64-D59</f>
        <v>-1</v>
      </c>
      <c r="E78" s="17" t="n">
        <f aca="false">E64-E59</f>
        <v>1</v>
      </c>
      <c r="F78" s="17" t="n">
        <f aca="false">F64-F59</f>
        <v>-1</v>
      </c>
      <c r="G78" s="17" t="n">
        <f aca="false">G64-G59</f>
        <v>0</v>
      </c>
      <c r="H78" s="17" t="n">
        <f aca="false">H64-H59</f>
        <v>0</v>
      </c>
      <c r="I78" s="17" t="n">
        <f aca="false">I64-I59</f>
        <v>0</v>
      </c>
    </row>
    <row r="80" customFormat="false" ht="15" hidden="false" customHeight="false" outlineLevel="0" collapsed="false">
      <c r="A80" s="8" t="s">
        <v>82</v>
      </c>
      <c r="B80" s="8" t="s">
        <v>38</v>
      </c>
      <c r="C80" s="8"/>
      <c r="D80" s="9" t="s">
        <v>39</v>
      </c>
      <c r="E80" s="9" t="s">
        <v>40</v>
      </c>
      <c r="F80" s="9" t="s">
        <v>41</v>
      </c>
      <c r="G80" s="9" t="s">
        <v>42</v>
      </c>
      <c r="H80" s="9" t="s">
        <v>43</v>
      </c>
      <c r="I80" s="9" t="s">
        <v>44</v>
      </c>
    </row>
    <row r="81" customFormat="false" ht="15" hidden="false" customHeight="false" outlineLevel="0" collapsed="false">
      <c r="A81" s="10" t="s">
        <v>82</v>
      </c>
      <c r="B81" s="11" t="s">
        <v>45</v>
      </c>
      <c r="C81" s="12"/>
      <c r="D81" s="12"/>
      <c r="E81" s="12"/>
      <c r="F81" s="12"/>
      <c r="G81" s="12"/>
      <c r="H81" s="12"/>
      <c r="I81" s="12"/>
    </row>
    <row r="82" customFormat="false" ht="15" hidden="false" customHeight="false" outlineLevel="0" collapsed="false">
      <c r="A82" s="13" t="s">
        <v>82</v>
      </c>
      <c r="B82" s="13" t="s">
        <v>46</v>
      </c>
      <c r="D82" s="14" t="n">
        <v>9562</v>
      </c>
      <c r="E82" s="14" t="n">
        <v>10889</v>
      </c>
      <c r="F82" s="14" t="n">
        <v>11530</v>
      </c>
      <c r="G82" s="14" t="n">
        <v>12404</v>
      </c>
      <c r="H82" s="14" t="n">
        <v>12563</v>
      </c>
      <c r="I82" s="14" t="n">
        <v>13193</v>
      </c>
    </row>
    <row r="83" customFormat="false" ht="15" hidden="false" customHeight="false" outlineLevel="0" collapsed="false">
      <c r="A83" s="13" t="s">
        <v>82</v>
      </c>
      <c r="B83" s="13" t="s">
        <v>47</v>
      </c>
      <c r="D83" s="14" t="n">
        <v>7560</v>
      </c>
      <c r="E83" s="14" t="n">
        <v>8637</v>
      </c>
      <c r="F83" s="14" t="n">
        <v>9367</v>
      </c>
      <c r="G83" s="14" t="n">
        <v>10004</v>
      </c>
      <c r="H83" s="14" t="n">
        <v>10247</v>
      </c>
      <c r="I83" s="14" t="n">
        <v>10743</v>
      </c>
    </row>
    <row r="84" customFormat="false" ht="15" hidden="false" customHeight="false" outlineLevel="0" collapsed="false">
      <c r="A84" s="13" t="s">
        <v>82</v>
      </c>
      <c r="B84" s="13" t="s">
        <v>48</v>
      </c>
      <c r="D84" s="14" t="n">
        <v>2002</v>
      </c>
      <c r="E84" s="14" t="n">
        <v>2252</v>
      </c>
      <c r="F84" s="14" t="n">
        <v>2162</v>
      </c>
      <c r="G84" s="14" t="n">
        <v>2400</v>
      </c>
      <c r="H84" s="14" t="n">
        <v>2316</v>
      </c>
      <c r="I84" s="14" t="n">
        <v>2450</v>
      </c>
    </row>
    <row r="85" customFormat="false" ht="15" hidden="false" customHeight="false" outlineLevel="0" collapsed="false">
      <c r="A85" s="13" t="s">
        <v>82</v>
      </c>
      <c r="B85" s="13" t="s">
        <v>49</v>
      </c>
      <c r="D85" s="14" t="n">
        <v>325</v>
      </c>
      <c r="E85" s="14" t="n">
        <v>308</v>
      </c>
      <c r="F85" s="14" t="n">
        <v>445</v>
      </c>
      <c r="G85" s="14" t="n">
        <v>482</v>
      </c>
      <c r="H85" s="14" t="n">
        <v>551</v>
      </c>
      <c r="I85" s="14" t="n">
        <v>585</v>
      </c>
    </row>
    <row r="86" customFormat="false" ht="15" hidden="false" customHeight="false" outlineLevel="0" collapsed="false">
      <c r="A86" s="13" t="s">
        <v>82</v>
      </c>
      <c r="B86" s="13" t="s">
        <v>50</v>
      </c>
      <c r="D86" s="14" t="n">
        <v>31</v>
      </c>
      <c r="E86" s="14" t="n">
        <v>39</v>
      </c>
      <c r="F86" s="14" t="n">
        <v>78</v>
      </c>
      <c r="G86" s="14" t="n">
        <v>124</v>
      </c>
      <c r="H86" s="14" t="n">
        <v>164</v>
      </c>
      <c r="I86" s="14" t="n">
        <v>145</v>
      </c>
    </row>
    <row r="87" customFormat="false" ht="15" hidden="false" customHeight="false" outlineLevel="0" collapsed="false">
      <c r="A87" s="13" t="s">
        <v>82</v>
      </c>
      <c r="B87" s="13" t="s">
        <v>51</v>
      </c>
      <c r="D87" s="14" t="n">
        <v>240</v>
      </c>
      <c r="E87" s="14" t="n">
        <v>253</v>
      </c>
      <c r="F87" s="14" t="n">
        <v>311</v>
      </c>
      <c r="G87" s="14" t="n">
        <v>399</v>
      </c>
      <c r="H87" s="14" t="n">
        <v>446</v>
      </c>
      <c r="I87" s="14" t="n">
        <v>469</v>
      </c>
    </row>
    <row r="88" customFormat="false" ht="15" hidden="false" customHeight="false" outlineLevel="0" collapsed="false">
      <c r="A88" s="13" t="s">
        <v>82</v>
      </c>
      <c r="B88" s="13" t="s">
        <v>52</v>
      </c>
      <c r="D88" s="14" t="n">
        <v>2056</v>
      </c>
      <c r="E88" s="14" t="n">
        <v>2269</v>
      </c>
      <c r="F88" s="14" t="n">
        <v>2219</v>
      </c>
      <c r="G88" s="14" t="n">
        <v>2359</v>
      </c>
      <c r="H88" s="14" t="n">
        <v>2258</v>
      </c>
      <c r="I88" s="14" t="n">
        <v>2420</v>
      </c>
    </row>
    <row r="89" customFormat="false" ht="15" hidden="false" customHeight="false" outlineLevel="0" collapsed="false">
      <c r="A89" s="13" t="s">
        <v>82</v>
      </c>
      <c r="B89" s="13" t="s">
        <v>53</v>
      </c>
      <c r="D89" s="14" t="n">
        <v>1695</v>
      </c>
      <c r="E89" s="14" t="n">
        <v>1742</v>
      </c>
      <c r="F89" s="14" t="n">
        <v>1701</v>
      </c>
      <c r="G89" s="14" t="n">
        <v>1811</v>
      </c>
      <c r="H89" s="14" t="n">
        <v>1740</v>
      </c>
      <c r="I89" s="14" t="n">
        <v>1869</v>
      </c>
    </row>
    <row r="90" customFormat="false" ht="15" hidden="false" customHeight="false" outlineLevel="0" collapsed="false">
      <c r="A90" s="13" t="s">
        <v>82</v>
      </c>
      <c r="B90" s="13" t="s">
        <v>54</v>
      </c>
      <c r="D90" s="15" t="n">
        <v>9.58</v>
      </c>
      <c r="E90" s="15" t="n">
        <v>9.84</v>
      </c>
      <c r="F90" s="15" t="n">
        <v>9.64</v>
      </c>
      <c r="G90" s="15" t="n">
        <v>10.4</v>
      </c>
      <c r="H90" s="15" t="n">
        <v>9.97</v>
      </c>
      <c r="I90" s="15" t="n">
        <v>10.68</v>
      </c>
    </row>
    <row r="91" customFormat="false" ht="15" hidden="false" customHeight="false" outlineLevel="0" collapsed="false">
      <c r="A91" s="13" t="s">
        <v>82</v>
      </c>
      <c r="B91" s="13" t="s">
        <v>55</v>
      </c>
      <c r="D91" s="16" t="n">
        <v>0.5</v>
      </c>
      <c r="E91" s="16" t="n">
        <v>0.53</v>
      </c>
      <c r="F91" s="16" t="n">
        <v>0.54</v>
      </c>
      <c r="G91" s="16" t="n">
        <v>0.53</v>
      </c>
      <c r="H91" s="16" t="n">
        <v>0.8</v>
      </c>
      <c r="I91" s="16" t="n">
        <v>0.77</v>
      </c>
    </row>
    <row r="92" customFormat="false" ht="15" hidden="false" customHeight="false" outlineLevel="0" collapsed="false">
      <c r="A92" s="10" t="s">
        <v>82</v>
      </c>
      <c r="B92" s="11" t="s">
        <v>56</v>
      </c>
      <c r="C92" s="12"/>
      <c r="D92" s="12"/>
      <c r="E92" s="12"/>
      <c r="F92" s="12"/>
      <c r="G92" s="12"/>
      <c r="H92" s="12"/>
      <c r="I92" s="12"/>
    </row>
    <row r="93" customFormat="false" ht="15" hidden="false" customHeight="false" outlineLevel="0" collapsed="false">
      <c r="A93" s="13" t="s">
        <v>82</v>
      </c>
      <c r="B93" s="13" t="s">
        <v>57</v>
      </c>
      <c r="D93" s="14" t="n">
        <v>177</v>
      </c>
      <c r="E93" s="14" t="n">
        <v>177</v>
      </c>
      <c r="F93" s="14" t="n">
        <v>177</v>
      </c>
      <c r="G93" s="14" t="n">
        <v>177</v>
      </c>
      <c r="H93" s="14" t="n">
        <v>177</v>
      </c>
      <c r="I93" s="14" t="n">
        <v>177</v>
      </c>
    </row>
    <row r="94" customFormat="false" ht="15" hidden="false" customHeight="false" outlineLevel="0" collapsed="false">
      <c r="A94" s="13" t="s">
        <v>82</v>
      </c>
      <c r="B94" s="13" t="s">
        <v>58</v>
      </c>
      <c r="D94" s="14" t="n">
        <v>7487</v>
      </c>
      <c r="E94" s="14" t="n">
        <v>8205</v>
      </c>
      <c r="F94" s="14" t="n">
        <v>8796</v>
      </c>
      <c r="G94" s="14" t="n">
        <v>9689</v>
      </c>
      <c r="H94" s="14" t="n">
        <v>10623</v>
      </c>
      <c r="I94" s="14" t="n">
        <v>11242</v>
      </c>
    </row>
    <row r="95" customFormat="false" ht="15" hidden="false" customHeight="false" outlineLevel="0" collapsed="false">
      <c r="A95" s="13" t="s">
        <v>82</v>
      </c>
      <c r="B95" s="13" t="s">
        <v>59</v>
      </c>
      <c r="D95" s="14" t="n">
        <v>509</v>
      </c>
      <c r="E95" s="14" t="n">
        <v>1030</v>
      </c>
      <c r="F95" s="14" t="n">
        <v>1174</v>
      </c>
      <c r="G95" s="14" t="n">
        <v>1365</v>
      </c>
      <c r="H95" s="14" t="n">
        <v>950</v>
      </c>
      <c r="I95" s="14" t="n">
        <v>1287</v>
      </c>
    </row>
    <row r="96" customFormat="false" ht="15" hidden="false" customHeight="false" outlineLevel="0" collapsed="false">
      <c r="A96" s="13" t="s">
        <v>82</v>
      </c>
      <c r="B96" s="13" t="s">
        <v>60</v>
      </c>
      <c r="D96" s="14" t="n">
        <v>2661</v>
      </c>
      <c r="E96" s="14" t="n">
        <v>2872</v>
      </c>
      <c r="F96" s="14" t="n">
        <v>3505</v>
      </c>
      <c r="G96" s="14" t="n">
        <v>3885</v>
      </c>
      <c r="H96" s="14" t="n">
        <v>4479</v>
      </c>
      <c r="I96" s="14" t="n">
        <v>4773</v>
      </c>
    </row>
    <row r="97" customFormat="false" ht="15" hidden="false" customHeight="false" outlineLevel="0" collapsed="false">
      <c r="A97" s="13" t="s">
        <v>82</v>
      </c>
      <c r="B97" s="13" t="s">
        <v>61</v>
      </c>
      <c r="D97" s="14" t="n">
        <v>10833</v>
      </c>
      <c r="E97" s="14" t="n">
        <v>12284</v>
      </c>
      <c r="F97" s="14" t="n">
        <v>13652</v>
      </c>
      <c r="G97" s="14" t="n">
        <v>15116</v>
      </c>
      <c r="H97" s="14" t="n">
        <v>16230</v>
      </c>
      <c r="I97" s="14" t="n">
        <v>17480</v>
      </c>
    </row>
    <row r="98" customFormat="false" ht="15" hidden="false" customHeight="false" outlineLevel="0" collapsed="false">
      <c r="A98" s="13" t="s">
        <v>82</v>
      </c>
      <c r="B98" s="13" t="s">
        <v>62</v>
      </c>
      <c r="D98" s="14" t="n">
        <v>2243</v>
      </c>
      <c r="E98" s="14" t="n">
        <v>2308</v>
      </c>
      <c r="F98" s="14" t="n">
        <v>3579</v>
      </c>
      <c r="G98" s="14" t="n">
        <v>3815</v>
      </c>
      <c r="H98" s="14" t="n">
        <v>3990</v>
      </c>
      <c r="I98" s="14" t="n">
        <v>3938</v>
      </c>
    </row>
    <row r="99" customFormat="false" ht="15" hidden="false" customHeight="false" outlineLevel="0" collapsed="false">
      <c r="A99" s="13" t="s">
        <v>82</v>
      </c>
      <c r="B99" s="13" t="s">
        <v>63</v>
      </c>
      <c r="D99" s="14" t="n">
        <v>147</v>
      </c>
      <c r="E99" s="14" t="n">
        <v>168</v>
      </c>
      <c r="F99" s="14" t="n">
        <v>175</v>
      </c>
      <c r="G99" s="14" t="n">
        <v>232</v>
      </c>
      <c r="H99" s="14" t="n">
        <v>169</v>
      </c>
      <c r="I99" s="14" t="n">
        <v>139</v>
      </c>
    </row>
    <row r="100" customFormat="false" ht="15" hidden="false" customHeight="false" outlineLevel="0" collapsed="false">
      <c r="A100" s="13" t="s">
        <v>82</v>
      </c>
      <c r="B100" s="13" t="s">
        <v>64</v>
      </c>
      <c r="D100" s="14" t="n">
        <v>4160</v>
      </c>
      <c r="E100" s="14" t="n">
        <v>6220</v>
      </c>
      <c r="F100" s="14" t="n">
        <v>6265</v>
      </c>
      <c r="G100" s="14" t="n">
        <v>6933</v>
      </c>
      <c r="H100" s="14" t="n">
        <v>7468</v>
      </c>
      <c r="I100" s="14" t="n">
        <v>8947</v>
      </c>
    </row>
    <row r="101" customFormat="false" ht="15" hidden="false" customHeight="false" outlineLevel="0" collapsed="false">
      <c r="A101" s="13" t="s">
        <v>82</v>
      </c>
      <c r="B101" s="13" t="s">
        <v>65</v>
      </c>
      <c r="D101" s="14" t="n">
        <v>4283</v>
      </c>
      <c r="E101" s="14" t="n">
        <v>3589</v>
      </c>
      <c r="F101" s="14" t="n">
        <v>3633</v>
      </c>
      <c r="G101" s="14" t="n">
        <v>4136</v>
      </c>
      <c r="H101" s="14" t="n">
        <v>4603</v>
      </c>
      <c r="I101" s="14" t="n">
        <v>4456</v>
      </c>
    </row>
    <row r="102" customFormat="false" ht="15" hidden="false" customHeight="false" outlineLevel="0" collapsed="false">
      <c r="A102" s="13" t="s">
        <v>82</v>
      </c>
      <c r="B102" s="13" t="s">
        <v>66</v>
      </c>
      <c r="D102" s="17" t="n">
        <f aca="false">D98+D99+D100+D101</f>
        <v>10833</v>
      </c>
      <c r="E102" s="17" t="n">
        <f aca="false">E98+E99+E100+E101</f>
        <v>12285</v>
      </c>
      <c r="F102" s="17" t="n">
        <f aca="false">F98+F99+F100+F101</f>
        <v>13652</v>
      </c>
      <c r="G102" s="17" t="n">
        <f aca="false">G98+G99+G100+G101</f>
        <v>15116</v>
      </c>
      <c r="H102" s="17" t="n">
        <f aca="false">H98+H99+H100+H101</f>
        <v>16230</v>
      </c>
      <c r="I102" s="17" t="n">
        <f aca="false">I98+I99+I100+I101</f>
        <v>17480</v>
      </c>
    </row>
    <row r="103" customFormat="false" ht="15" hidden="false" customHeight="false" outlineLevel="0" collapsed="false">
      <c r="A103" s="10" t="s">
        <v>82</v>
      </c>
      <c r="B103" s="11" t="s">
        <v>67</v>
      </c>
      <c r="C103" s="12"/>
      <c r="D103" s="12"/>
      <c r="E103" s="12"/>
      <c r="F103" s="12"/>
      <c r="G103" s="12"/>
      <c r="H103" s="12"/>
      <c r="I103" s="12"/>
    </row>
    <row r="104" customFormat="false" ht="15" hidden="false" customHeight="false" outlineLevel="0" collapsed="false">
      <c r="A104" s="13" t="s">
        <v>82</v>
      </c>
      <c r="B104" s="13" t="s">
        <v>68</v>
      </c>
      <c r="D104" s="14" t="n">
        <v>2115</v>
      </c>
      <c r="E104" s="14" t="n">
        <v>1802</v>
      </c>
      <c r="F104" s="14" t="n">
        <v>1488</v>
      </c>
      <c r="G104" s="14" t="n">
        <v>2013</v>
      </c>
      <c r="H104" s="14" t="n">
        <v>1987</v>
      </c>
      <c r="I104" s="14" t="n">
        <v>2579</v>
      </c>
    </row>
    <row r="105" customFormat="false" ht="15" hidden="false" customHeight="false" outlineLevel="0" collapsed="false">
      <c r="A105" s="13" t="s">
        <v>82</v>
      </c>
      <c r="B105" s="13" t="s">
        <v>69</v>
      </c>
      <c r="D105" s="14" t="n">
        <v>-1404</v>
      </c>
      <c r="E105" s="14" t="n">
        <v>-1273</v>
      </c>
      <c r="F105" s="14" t="n">
        <v>-583</v>
      </c>
      <c r="G105" s="14" t="n">
        <v>-971</v>
      </c>
      <c r="H105" s="14" t="n">
        <v>-448</v>
      </c>
      <c r="I105" s="14" t="n">
        <v>-1279</v>
      </c>
    </row>
    <row r="106" customFormat="false" ht="15" hidden="false" customHeight="false" outlineLevel="0" collapsed="false">
      <c r="A106" s="13" t="s">
        <v>82</v>
      </c>
      <c r="B106" s="13" t="s">
        <v>70</v>
      </c>
      <c r="D106" s="14" t="n">
        <v>-613</v>
      </c>
      <c r="E106" s="14" t="n">
        <v>-490</v>
      </c>
      <c r="F106" s="14" t="n">
        <v>-1035</v>
      </c>
      <c r="G106" s="14" t="n">
        <v>-1161</v>
      </c>
      <c r="H106" s="14" t="n">
        <v>-1405</v>
      </c>
      <c r="I106" s="14" t="n">
        <v>-1236</v>
      </c>
    </row>
    <row r="107" customFormat="false" ht="15" hidden="false" customHeight="false" outlineLevel="0" collapsed="false">
      <c r="A107" s="13" t="s">
        <v>82</v>
      </c>
      <c r="B107" s="13" t="s">
        <v>71</v>
      </c>
      <c r="D107" s="14" t="n">
        <v>1808</v>
      </c>
      <c r="E107" s="14" t="n">
        <v>1433</v>
      </c>
      <c r="F107" s="14" t="n">
        <v>1003</v>
      </c>
      <c r="G107" s="14" t="n">
        <v>1453</v>
      </c>
      <c r="H107" s="14" t="n">
        <v>1448</v>
      </c>
      <c r="I107" s="14" t="n">
        <v>2180</v>
      </c>
    </row>
    <row r="108" customFormat="false" ht="15" hidden="false" customHeight="false" outlineLevel="0" collapsed="false">
      <c r="A108" s="10" t="s">
        <v>82</v>
      </c>
      <c r="B108" s="11" t="s">
        <v>72</v>
      </c>
      <c r="C108" s="12"/>
      <c r="D108" s="12"/>
      <c r="E108" s="12"/>
      <c r="F108" s="12"/>
      <c r="G108" s="12"/>
      <c r="H108" s="12"/>
      <c r="I108" s="12"/>
    </row>
    <row r="109" customFormat="false" ht="15" hidden="false" customHeight="false" outlineLevel="0" collapsed="false">
      <c r="A109" s="13" t="s">
        <v>82</v>
      </c>
      <c r="B109" s="13" t="s">
        <v>73</v>
      </c>
      <c r="D109" s="18" t="n">
        <v>21</v>
      </c>
      <c r="E109" s="18" t="n">
        <v>22</v>
      </c>
      <c r="F109" s="18" t="n">
        <v>27</v>
      </c>
      <c r="G109" s="18" t="n">
        <v>26</v>
      </c>
      <c r="H109" s="18" t="n">
        <v>26</v>
      </c>
      <c r="I109" s="18" t="n">
        <v>20</v>
      </c>
    </row>
    <row r="110" customFormat="false" ht="15" hidden="false" customHeight="false" outlineLevel="0" collapsed="false">
      <c r="A110" s="13" t="s">
        <v>82</v>
      </c>
      <c r="B110" s="13" t="s">
        <v>74</v>
      </c>
      <c r="D110" s="18" t="n">
        <v>178</v>
      </c>
      <c r="E110" s="18" t="n">
        <v>169</v>
      </c>
      <c r="F110" s="18" t="n">
        <v>158</v>
      </c>
      <c r="G110" s="18" t="n">
        <v>149</v>
      </c>
      <c r="H110" s="18" t="n">
        <v>175</v>
      </c>
      <c r="I110" s="18" t="n">
        <v>166</v>
      </c>
    </row>
    <row r="111" customFormat="false" ht="15" hidden="false" customHeight="false" outlineLevel="0" collapsed="false">
      <c r="A111" s="13" t="s">
        <v>82</v>
      </c>
      <c r="B111" s="13" t="s">
        <v>75</v>
      </c>
      <c r="D111" s="18" t="n">
        <v>197</v>
      </c>
      <c r="E111" s="18" t="n">
        <v>178</v>
      </c>
      <c r="F111" s="18" t="n">
        <v>171</v>
      </c>
      <c r="G111" s="18" t="n">
        <v>186</v>
      </c>
      <c r="H111" s="18" t="n">
        <v>215</v>
      </c>
      <c r="I111" s="18" t="n">
        <v>212</v>
      </c>
    </row>
    <row r="112" customFormat="false" ht="15" hidden="false" customHeight="false" outlineLevel="0" collapsed="false">
      <c r="A112" s="10" t="s">
        <v>82</v>
      </c>
      <c r="B112" s="11" t="s">
        <v>76</v>
      </c>
      <c r="C112" s="12"/>
      <c r="D112" s="12"/>
      <c r="E112" s="12"/>
      <c r="F112" s="12"/>
      <c r="G112" s="12"/>
      <c r="H112" s="12"/>
      <c r="I112" s="12"/>
    </row>
    <row r="113" customFormat="false" ht="15" hidden="false" customHeight="false" outlineLevel="0" collapsed="false">
      <c r="A113" s="13" t="s">
        <v>82</v>
      </c>
      <c r="B113" s="13" t="s">
        <v>77</v>
      </c>
      <c r="D113" s="17" t="n">
        <f aca="false">D93+D94</f>
        <v>7664</v>
      </c>
      <c r="E113" s="17" t="n">
        <f aca="false">E93+E94</f>
        <v>8382</v>
      </c>
      <c r="F113" s="17" t="n">
        <f aca="false">F93+F94</f>
        <v>8973</v>
      </c>
      <c r="G113" s="17" t="n">
        <f aca="false">G93+G94</f>
        <v>9866</v>
      </c>
      <c r="H113" s="17" t="n">
        <f aca="false">H93+H94</f>
        <v>10800</v>
      </c>
      <c r="I113" s="17" t="n">
        <f aca="false">I93+I94</f>
        <v>11419</v>
      </c>
    </row>
    <row r="114" customFormat="false" ht="15" hidden="false" customHeight="false" outlineLevel="0" collapsed="false">
      <c r="A114" s="13" t="s">
        <v>82</v>
      </c>
      <c r="B114" s="13" t="s">
        <v>78</v>
      </c>
      <c r="D114" s="17" t="n">
        <f aca="false">D88+D86</f>
        <v>2087</v>
      </c>
      <c r="E114" s="17" t="n">
        <f aca="false">E88+E86</f>
        <v>2308</v>
      </c>
      <c r="F114" s="17" t="n">
        <f aca="false">F88+F86</f>
        <v>2297</v>
      </c>
      <c r="G114" s="17" t="n">
        <f aca="false">G88+G86</f>
        <v>2483</v>
      </c>
      <c r="H114" s="17" t="n">
        <f aca="false">H88+H86</f>
        <v>2422</v>
      </c>
      <c r="I114" s="17" t="n">
        <f aca="false">I88+I86</f>
        <v>2565</v>
      </c>
    </row>
    <row r="115" customFormat="false" ht="15" hidden="false" customHeight="false" outlineLevel="0" collapsed="false">
      <c r="A115" s="13" t="s">
        <v>82</v>
      </c>
      <c r="B115" s="13" t="s">
        <v>79</v>
      </c>
      <c r="D115" s="17" t="n">
        <f aca="false">D113+D95</f>
        <v>8173</v>
      </c>
      <c r="E115" s="17" t="n">
        <f aca="false">E113+E95</f>
        <v>9412</v>
      </c>
      <c r="F115" s="17" t="n">
        <f aca="false">F113+F95</f>
        <v>10147</v>
      </c>
      <c r="G115" s="17" t="n">
        <f aca="false">G113+G95</f>
        <v>11231</v>
      </c>
      <c r="H115" s="17" t="n">
        <f aca="false">H113+H95</f>
        <v>11750</v>
      </c>
      <c r="I115" s="17" t="n">
        <f aca="false">I113+I95</f>
        <v>12706</v>
      </c>
    </row>
    <row r="116" customFormat="false" ht="15" hidden="false" customHeight="false" outlineLevel="0" collapsed="false">
      <c r="A116" s="13" t="s">
        <v>82</v>
      </c>
      <c r="B116" s="13" t="s">
        <v>80</v>
      </c>
      <c r="D116" s="17" t="n">
        <f aca="false">D102-D97</f>
        <v>0</v>
      </c>
      <c r="E116" s="17" t="n">
        <f aca="false">E102-E97</f>
        <v>1</v>
      </c>
      <c r="F116" s="17" t="n">
        <f aca="false">F102-F97</f>
        <v>0</v>
      </c>
      <c r="G116" s="17" t="n">
        <f aca="false">G102-G97</f>
        <v>0</v>
      </c>
      <c r="H116" s="17" t="n">
        <f aca="false">H102-H97</f>
        <v>0</v>
      </c>
      <c r="I116" s="17" t="n">
        <f aca="false">I102-I97</f>
        <v>0</v>
      </c>
    </row>
    <row r="118" customFormat="false" ht="15" hidden="false" customHeight="false" outlineLevel="0" collapsed="false">
      <c r="A118" s="8" t="s">
        <v>83</v>
      </c>
      <c r="B118" s="8" t="s">
        <v>38</v>
      </c>
      <c r="C118" s="8"/>
      <c r="D118" s="9" t="s">
        <v>39</v>
      </c>
      <c r="E118" s="9" t="s">
        <v>40</v>
      </c>
      <c r="F118" s="9" t="s">
        <v>41</v>
      </c>
      <c r="G118" s="9" t="s">
        <v>42</v>
      </c>
      <c r="H118" s="9" t="s">
        <v>43</v>
      </c>
      <c r="I118" s="9" t="s">
        <v>44</v>
      </c>
    </row>
    <row r="119" customFormat="false" ht="15" hidden="false" customHeight="false" outlineLevel="0" collapsed="false">
      <c r="A119" s="10" t="s">
        <v>83</v>
      </c>
      <c r="B119" s="11" t="s">
        <v>45</v>
      </c>
      <c r="C119" s="12"/>
      <c r="D119" s="12"/>
      <c r="E119" s="12"/>
      <c r="F119" s="12"/>
      <c r="G119" s="12"/>
      <c r="H119" s="12"/>
      <c r="I119" s="12"/>
    </row>
    <row r="120" customFormat="false" ht="15" hidden="false" customHeight="false" outlineLevel="0" collapsed="false">
      <c r="A120" s="13" t="s">
        <v>83</v>
      </c>
      <c r="B120" s="13" t="s">
        <v>46</v>
      </c>
      <c r="D120" s="14" t="n">
        <v>13136</v>
      </c>
      <c r="E120" s="14" t="n">
        <v>14136</v>
      </c>
      <c r="F120" s="14" t="n">
        <v>16301</v>
      </c>
      <c r="G120" s="14" t="n">
        <v>16769</v>
      </c>
      <c r="H120" s="14" t="n">
        <v>17943</v>
      </c>
      <c r="I120" s="14" t="n">
        <v>19152</v>
      </c>
    </row>
    <row r="121" customFormat="false" ht="15" hidden="false" customHeight="false" outlineLevel="0" collapsed="false">
      <c r="A121" s="13" t="s">
        <v>83</v>
      </c>
      <c r="B121" s="13" t="s">
        <v>47</v>
      </c>
      <c r="D121" s="14" t="n">
        <v>10627</v>
      </c>
      <c r="E121" s="14" t="n">
        <v>11935</v>
      </c>
      <c r="F121" s="14" t="n">
        <v>13470</v>
      </c>
      <c r="G121" s="14" t="n">
        <v>13603</v>
      </c>
      <c r="H121" s="14" t="n">
        <v>14766</v>
      </c>
      <c r="I121" s="14" t="n">
        <v>15637</v>
      </c>
    </row>
    <row r="122" customFormat="false" ht="15" hidden="false" customHeight="false" outlineLevel="0" collapsed="false">
      <c r="A122" s="13" t="s">
        <v>83</v>
      </c>
      <c r="B122" s="13" t="s">
        <v>48</v>
      </c>
      <c r="D122" s="14" t="n">
        <v>2509</v>
      </c>
      <c r="E122" s="14" t="n">
        <v>2201</v>
      </c>
      <c r="F122" s="14" t="n">
        <v>2831</v>
      </c>
      <c r="G122" s="14" t="n">
        <v>3167</v>
      </c>
      <c r="H122" s="14" t="n">
        <v>3176</v>
      </c>
      <c r="I122" s="14" t="n">
        <v>3514</v>
      </c>
    </row>
    <row r="123" customFormat="false" ht="15" hidden="false" customHeight="false" outlineLevel="0" collapsed="false">
      <c r="A123" s="13" t="s">
        <v>83</v>
      </c>
      <c r="B123" s="13" t="s">
        <v>49</v>
      </c>
      <c r="D123" s="14" t="n">
        <v>313</v>
      </c>
      <c r="E123" s="14" t="n">
        <v>222</v>
      </c>
      <c r="F123" s="14" t="n">
        <v>597</v>
      </c>
      <c r="G123" s="14" t="n">
        <v>211</v>
      </c>
      <c r="H123" s="14" t="n">
        <v>202</v>
      </c>
      <c r="I123" s="14" t="n">
        <v>224</v>
      </c>
    </row>
    <row r="124" customFormat="false" ht="15" hidden="false" customHeight="false" outlineLevel="0" collapsed="false">
      <c r="A124" s="13" t="s">
        <v>83</v>
      </c>
      <c r="B124" s="13" t="s">
        <v>50</v>
      </c>
      <c r="D124" s="14" t="n">
        <v>111</v>
      </c>
      <c r="E124" s="14" t="n">
        <v>144</v>
      </c>
      <c r="F124" s="14" t="n">
        <v>169</v>
      </c>
      <c r="G124" s="14" t="n">
        <v>164</v>
      </c>
      <c r="H124" s="14" t="n">
        <v>139</v>
      </c>
      <c r="I124" s="14" t="n">
        <v>113</v>
      </c>
    </row>
    <row r="125" customFormat="false" ht="15" hidden="false" customHeight="false" outlineLevel="0" collapsed="false">
      <c r="A125" s="13" t="s">
        <v>83</v>
      </c>
      <c r="B125" s="13" t="s">
        <v>51</v>
      </c>
      <c r="D125" s="14" t="n">
        <v>198</v>
      </c>
      <c r="E125" s="14" t="n">
        <v>201</v>
      </c>
      <c r="F125" s="14" t="n">
        <v>226</v>
      </c>
      <c r="G125" s="14" t="n">
        <v>300</v>
      </c>
      <c r="H125" s="14" t="n">
        <v>313</v>
      </c>
      <c r="I125" s="14" t="n">
        <v>337</v>
      </c>
    </row>
    <row r="126" customFormat="false" ht="15" hidden="false" customHeight="false" outlineLevel="0" collapsed="false">
      <c r="A126" s="13" t="s">
        <v>83</v>
      </c>
      <c r="B126" s="13" t="s">
        <v>52</v>
      </c>
      <c r="D126" s="14" t="n">
        <v>2514</v>
      </c>
      <c r="E126" s="14" t="n">
        <v>2078</v>
      </c>
      <c r="F126" s="14" t="n">
        <v>3033</v>
      </c>
      <c r="G126" s="14" t="n">
        <v>2913</v>
      </c>
      <c r="H126" s="14" t="n">
        <v>2927</v>
      </c>
      <c r="I126" s="14" t="n">
        <v>3289</v>
      </c>
    </row>
    <row r="127" customFormat="false" ht="15" hidden="false" customHeight="false" outlineLevel="0" collapsed="false">
      <c r="A127" s="13" t="s">
        <v>83</v>
      </c>
      <c r="B127" s="13" t="s">
        <v>53</v>
      </c>
      <c r="D127" s="14" t="n">
        <v>1851</v>
      </c>
      <c r="E127" s="14" t="n">
        <v>1516</v>
      </c>
      <c r="F127" s="14" t="n">
        <v>2316</v>
      </c>
      <c r="G127" s="14" t="n">
        <v>2134</v>
      </c>
      <c r="H127" s="14" t="n">
        <v>2178</v>
      </c>
      <c r="I127" s="14" t="n">
        <v>2537</v>
      </c>
    </row>
    <row r="128" customFormat="false" ht="15" hidden="false" customHeight="false" outlineLevel="0" collapsed="false">
      <c r="A128" s="13" t="s">
        <v>83</v>
      </c>
      <c r="B128" s="13" t="s">
        <v>54</v>
      </c>
      <c r="D128" s="15" t="n">
        <v>77.38</v>
      </c>
      <c r="E128" s="15" t="n">
        <v>63.31</v>
      </c>
      <c r="F128" s="15" t="n">
        <v>96.39</v>
      </c>
      <c r="G128" s="15" t="n">
        <v>88.84</v>
      </c>
      <c r="H128" s="15" t="n">
        <v>90.45</v>
      </c>
      <c r="I128" s="15" t="n">
        <v>105.18</v>
      </c>
    </row>
    <row r="129" customFormat="false" ht="15" hidden="false" customHeight="false" outlineLevel="0" collapsed="false">
      <c r="A129" s="13" t="s">
        <v>83</v>
      </c>
      <c r="B129" s="13" t="s">
        <v>55</v>
      </c>
      <c r="D129" s="16" t="n">
        <v>2.04</v>
      </c>
      <c r="E129" s="16" t="n">
        <v>0.89</v>
      </c>
      <c r="F129" s="16" t="n">
        <v>0.75</v>
      </c>
      <c r="G129" s="16" t="n">
        <v>0.83</v>
      </c>
      <c r="H129" s="16" t="n">
        <v>0.83</v>
      </c>
      <c r="I129" s="16" t="n">
        <v>0.86</v>
      </c>
    </row>
    <row r="130" customFormat="false" ht="15" hidden="false" customHeight="false" outlineLevel="0" collapsed="false">
      <c r="A130" s="10" t="s">
        <v>83</v>
      </c>
      <c r="B130" s="11" t="s">
        <v>56</v>
      </c>
      <c r="C130" s="12"/>
      <c r="D130" s="12"/>
      <c r="E130" s="12"/>
      <c r="F130" s="12"/>
      <c r="G130" s="12"/>
      <c r="H130" s="12"/>
      <c r="I130" s="12"/>
    </row>
    <row r="131" customFormat="false" ht="15" hidden="false" customHeight="false" outlineLevel="0" collapsed="false">
      <c r="A131" s="13" t="s">
        <v>83</v>
      </c>
      <c r="B131" s="13" t="s">
        <v>57</v>
      </c>
      <c r="D131" s="14" t="n">
        <v>24</v>
      </c>
      <c r="E131" s="14" t="n">
        <v>24</v>
      </c>
      <c r="F131" s="14" t="n">
        <v>24</v>
      </c>
      <c r="G131" s="14" t="n">
        <v>24</v>
      </c>
      <c r="H131" s="14" t="n">
        <v>24</v>
      </c>
      <c r="I131" s="14" t="n">
        <v>24</v>
      </c>
    </row>
    <row r="132" customFormat="false" ht="15" hidden="false" customHeight="false" outlineLevel="0" collapsed="false">
      <c r="A132" s="13" t="s">
        <v>83</v>
      </c>
      <c r="B132" s="13" t="s">
        <v>58</v>
      </c>
      <c r="D132" s="14" t="n">
        <v>3524</v>
      </c>
      <c r="E132" s="14" t="n">
        <v>2534</v>
      </c>
      <c r="F132" s="14" t="n">
        <v>3510</v>
      </c>
      <c r="G132" s="14" t="n">
        <v>3917</v>
      </c>
      <c r="H132" s="14" t="n">
        <v>4332</v>
      </c>
      <c r="I132" s="14" t="n">
        <v>5082</v>
      </c>
    </row>
    <row r="133" customFormat="false" ht="15" hidden="false" customHeight="false" outlineLevel="0" collapsed="false">
      <c r="A133" s="13" t="s">
        <v>83</v>
      </c>
      <c r="B133" s="13" t="s">
        <v>59</v>
      </c>
      <c r="D133" s="14" t="n">
        <v>2107</v>
      </c>
      <c r="E133" s="14" t="n">
        <v>2481</v>
      </c>
      <c r="F133" s="14" t="n">
        <v>2997</v>
      </c>
      <c r="G133" s="14" t="n">
        <v>2065</v>
      </c>
      <c r="H133" s="14" t="n">
        <v>1247</v>
      </c>
      <c r="I133" s="14" t="n">
        <v>1380</v>
      </c>
    </row>
    <row r="134" customFormat="false" ht="15" hidden="false" customHeight="false" outlineLevel="0" collapsed="false">
      <c r="A134" s="13" t="s">
        <v>83</v>
      </c>
      <c r="B134" s="13" t="s">
        <v>60</v>
      </c>
      <c r="D134" s="14" t="n">
        <v>2345</v>
      </c>
      <c r="E134" s="14" t="n">
        <v>2487</v>
      </c>
      <c r="F134" s="14" t="n">
        <v>2819</v>
      </c>
      <c r="G134" s="14" t="n">
        <v>3065</v>
      </c>
      <c r="H134" s="14" t="n">
        <v>3235</v>
      </c>
      <c r="I134" s="14" t="n">
        <v>3243</v>
      </c>
    </row>
    <row r="135" customFormat="false" ht="15" hidden="false" customHeight="false" outlineLevel="0" collapsed="false">
      <c r="A135" s="13" t="s">
        <v>83</v>
      </c>
      <c r="B135" s="13" t="s">
        <v>61</v>
      </c>
      <c r="D135" s="14" t="n">
        <v>8000</v>
      </c>
      <c r="E135" s="14" t="n">
        <v>7527</v>
      </c>
      <c r="F135" s="14" t="n">
        <v>9351</v>
      </c>
      <c r="G135" s="14" t="n">
        <v>9072</v>
      </c>
      <c r="H135" s="14" t="n">
        <v>8837</v>
      </c>
      <c r="I135" s="14" t="n">
        <v>9730</v>
      </c>
    </row>
    <row r="136" customFormat="false" ht="15" hidden="false" customHeight="false" outlineLevel="0" collapsed="false">
      <c r="A136" s="13" t="s">
        <v>83</v>
      </c>
      <c r="B136" s="13" t="s">
        <v>62</v>
      </c>
      <c r="D136" s="14" t="n">
        <v>1793</v>
      </c>
      <c r="E136" s="14" t="n">
        <v>1753</v>
      </c>
      <c r="F136" s="14" t="n">
        <v>2655</v>
      </c>
      <c r="G136" s="14" t="n">
        <v>2771</v>
      </c>
      <c r="H136" s="14" t="n">
        <v>2904</v>
      </c>
      <c r="I136" s="14" t="n">
        <v>2850</v>
      </c>
    </row>
    <row r="137" customFormat="false" ht="15" hidden="false" customHeight="false" outlineLevel="0" collapsed="false">
      <c r="A137" s="13" t="s">
        <v>83</v>
      </c>
      <c r="B137" s="13" t="s">
        <v>63</v>
      </c>
      <c r="D137" s="14" t="n">
        <v>117</v>
      </c>
      <c r="E137" s="14" t="n">
        <v>536</v>
      </c>
      <c r="F137" s="14" t="n">
        <v>105</v>
      </c>
      <c r="G137" s="14" t="n">
        <v>188</v>
      </c>
      <c r="H137" s="14" t="n">
        <v>89</v>
      </c>
      <c r="I137" s="14" t="n">
        <v>39</v>
      </c>
    </row>
    <row r="138" customFormat="false" ht="15" hidden="false" customHeight="false" outlineLevel="0" collapsed="false">
      <c r="A138" s="13" t="s">
        <v>83</v>
      </c>
      <c r="B138" s="13" t="s">
        <v>64</v>
      </c>
      <c r="D138" s="14" t="n">
        <v>2781</v>
      </c>
      <c r="E138" s="14" t="n">
        <v>1762</v>
      </c>
      <c r="F138" s="14" t="n">
        <v>3324</v>
      </c>
      <c r="G138" s="14" t="n">
        <v>2767</v>
      </c>
      <c r="H138" s="14" t="n">
        <v>2865</v>
      </c>
      <c r="I138" s="14" t="n">
        <v>3610</v>
      </c>
    </row>
    <row r="139" customFormat="false" ht="15" hidden="false" customHeight="false" outlineLevel="0" collapsed="false">
      <c r="A139" s="13" t="s">
        <v>83</v>
      </c>
      <c r="B139" s="13" t="s">
        <v>65</v>
      </c>
      <c r="D139" s="14" t="n">
        <v>3310</v>
      </c>
      <c r="E139" s="14" t="n">
        <v>3475</v>
      </c>
      <c r="F139" s="14" t="n">
        <v>3266</v>
      </c>
      <c r="G139" s="14" t="n">
        <v>3346</v>
      </c>
      <c r="H139" s="14" t="n">
        <v>2978</v>
      </c>
      <c r="I139" s="14" t="n">
        <v>3232</v>
      </c>
    </row>
    <row r="140" customFormat="false" ht="15" hidden="false" customHeight="false" outlineLevel="0" collapsed="false">
      <c r="A140" s="13" t="s">
        <v>83</v>
      </c>
      <c r="B140" s="13" t="s">
        <v>66</v>
      </c>
      <c r="D140" s="17" t="n">
        <f aca="false">D136+D137+D138+D139</f>
        <v>8001</v>
      </c>
      <c r="E140" s="17" t="n">
        <f aca="false">E136+E137+E138+E139</f>
        <v>7526</v>
      </c>
      <c r="F140" s="17" t="n">
        <f aca="false">F136+F137+F138+F139</f>
        <v>9350</v>
      </c>
      <c r="G140" s="17" t="n">
        <f aca="false">G136+G137+G138+G139</f>
        <v>9072</v>
      </c>
      <c r="H140" s="17" t="n">
        <f aca="false">H136+H137+H138+H139</f>
        <v>8836</v>
      </c>
      <c r="I140" s="17" t="n">
        <f aca="false">I136+I137+I138+I139</f>
        <v>9731</v>
      </c>
    </row>
    <row r="141" customFormat="false" ht="15" hidden="false" customHeight="false" outlineLevel="0" collapsed="false">
      <c r="A141" s="10" t="s">
        <v>83</v>
      </c>
      <c r="B141" s="11" t="s">
        <v>67</v>
      </c>
      <c r="C141" s="12"/>
      <c r="D141" s="12"/>
      <c r="E141" s="12"/>
      <c r="F141" s="12"/>
      <c r="G141" s="12"/>
      <c r="H141" s="12"/>
      <c r="I141" s="12"/>
    </row>
    <row r="142" customFormat="false" ht="15" hidden="false" customHeight="false" outlineLevel="0" collapsed="false">
      <c r="A142" s="13" t="s">
        <v>83</v>
      </c>
      <c r="B142" s="13" t="s">
        <v>68</v>
      </c>
      <c r="D142" s="14" t="n">
        <v>1851</v>
      </c>
      <c r="E142" s="14" t="n">
        <v>1300</v>
      </c>
      <c r="F142" s="14" t="n">
        <v>2526</v>
      </c>
      <c r="G142" s="14" t="n">
        <v>2573</v>
      </c>
      <c r="H142" s="14" t="n">
        <v>2491</v>
      </c>
      <c r="I142" s="14" t="n">
        <v>2612</v>
      </c>
    </row>
    <row r="143" customFormat="false" ht="15" hidden="false" customHeight="false" outlineLevel="0" collapsed="false">
      <c r="A143" s="13" t="s">
        <v>83</v>
      </c>
      <c r="B143" s="13" t="s">
        <v>69</v>
      </c>
      <c r="D143" s="14" t="n">
        <v>459</v>
      </c>
      <c r="E143" s="14" t="n">
        <v>914</v>
      </c>
      <c r="F143" s="14" t="n">
        <v>-1507</v>
      </c>
      <c r="G143" s="14" t="n">
        <v>485</v>
      </c>
      <c r="H143" s="14" t="n">
        <v>69</v>
      </c>
      <c r="I143" s="14" t="n">
        <v>-741</v>
      </c>
    </row>
    <row r="144" customFormat="false" ht="15" hidden="false" customHeight="false" outlineLevel="0" collapsed="false">
      <c r="A144" s="13" t="s">
        <v>83</v>
      </c>
      <c r="B144" s="13" t="s">
        <v>70</v>
      </c>
      <c r="D144" s="14" t="n">
        <v>-2244</v>
      </c>
      <c r="E144" s="14" t="n">
        <v>-2246</v>
      </c>
      <c r="F144" s="14" t="n">
        <v>-1028</v>
      </c>
      <c r="G144" s="14" t="n">
        <v>-2839</v>
      </c>
      <c r="H144" s="14" t="n">
        <v>-2754</v>
      </c>
      <c r="I144" s="14" t="n">
        <v>-1783</v>
      </c>
    </row>
    <row r="145" customFormat="false" ht="15" hidden="false" customHeight="false" outlineLevel="0" collapsed="false">
      <c r="A145" s="13" t="s">
        <v>83</v>
      </c>
      <c r="B145" s="13" t="s">
        <v>71</v>
      </c>
      <c r="D145" s="14" t="n">
        <v>1611</v>
      </c>
      <c r="E145" s="14" t="n">
        <v>752</v>
      </c>
      <c r="F145" s="14" t="n">
        <v>1893</v>
      </c>
      <c r="G145" s="14" t="n">
        <v>2085</v>
      </c>
      <c r="H145" s="14" t="n">
        <v>2120</v>
      </c>
      <c r="I145" s="14" t="n">
        <v>2408</v>
      </c>
    </row>
    <row r="146" customFormat="false" ht="15" hidden="false" customHeight="false" outlineLevel="0" collapsed="false">
      <c r="A146" s="10" t="s">
        <v>83</v>
      </c>
      <c r="B146" s="11" t="s">
        <v>72</v>
      </c>
      <c r="C146" s="12"/>
      <c r="D146" s="12"/>
      <c r="E146" s="12"/>
      <c r="F146" s="12"/>
      <c r="G146" s="12"/>
      <c r="H146" s="12"/>
      <c r="I146" s="12"/>
    </row>
    <row r="147" customFormat="false" ht="15" hidden="false" customHeight="false" outlineLevel="0" collapsed="false">
      <c r="A147" s="13" t="s">
        <v>83</v>
      </c>
      <c r="B147" s="13" t="s">
        <v>73</v>
      </c>
      <c r="D147" s="18" t="n">
        <v>7</v>
      </c>
      <c r="E147" s="18" t="n">
        <v>9</v>
      </c>
      <c r="F147" s="18" t="n">
        <v>7</v>
      </c>
      <c r="G147" s="18" t="n">
        <v>9</v>
      </c>
      <c r="H147" s="18" t="n">
        <v>9</v>
      </c>
      <c r="I147" s="18" t="n">
        <v>9</v>
      </c>
    </row>
    <row r="148" customFormat="false" ht="15" hidden="false" customHeight="false" outlineLevel="0" collapsed="false">
      <c r="A148" s="13" t="s">
        <v>83</v>
      </c>
      <c r="B148" s="13" t="s">
        <v>74</v>
      </c>
      <c r="D148" s="18" t="n">
        <v>52</v>
      </c>
      <c r="E148" s="18" t="n">
        <v>57</v>
      </c>
      <c r="F148" s="18" t="n">
        <v>45</v>
      </c>
      <c r="G148" s="18" t="n">
        <v>45</v>
      </c>
      <c r="H148" s="18" t="n">
        <v>43</v>
      </c>
      <c r="I148" s="18" t="n">
        <v>44</v>
      </c>
    </row>
    <row r="149" customFormat="false" ht="15" hidden="false" customHeight="false" outlineLevel="0" collapsed="false">
      <c r="A149" s="13" t="s">
        <v>83</v>
      </c>
      <c r="B149" s="13" t="s">
        <v>75</v>
      </c>
      <c r="D149" s="18" t="n">
        <v>63</v>
      </c>
      <c r="E149" s="18" t="n">
        <v>55</v>
      </c>
      <c r="F149" s="18" t="n">
        <v>55</v>
      </c>
      <c r="G149" s="18" t="n">
        <v>63</v>
      </c>
      <c r="H149" s="18" t="n">
        <v>60</v>
      </c>
      <c r="I149" s="18" t="n">
        <v>62</v>
      </c>
    </row>
    <row r="150" customFormat="false" ht="15" hidden="false" customHeight="false" outlineLevel="0" collapsed="false">
      <c r="A150" s="10" t="s">
        <v>83</v>
      </c>
      <c r="B150" s="11" t="s">
        <v>76</v>
      </c>
      <c r="C150" s="12"/>
      <c r="D150" s="12"/>
      <c r="E150" s="12"/>
      <c r="F150" s="12"/>
      <c r="G150" s="12"/>
      <c r="H150" s="12"/>
      <c r="I150" s="12"/>
    </row>
    <row r="151" customFormat="false" ht="15" hidden="false" customHeight="false" outlineLevel="0" collapsed="false">
      <c r="A151" s="13" t="s">
        <v>83</v>
      </c>
      <c r="B151" s="13" t="s">
        <v>77</v>
      </c>
      <c r="D151" s="17" t="n">
        <f aca="false">D131+D132</f>
        <v>3548</v>
      </c>
      <c r="E151" s="17" t="n">
        <f aca="false">E131+E132</f>
        <v>2558</v>
      </c>
      <c r="F151" s="17" t="n">
        <f aca="false">F131+F132</f>
        <v>3534</v>
      </c>
      <c r="G151" s="17" t="n">
        <f aca="false">G131+G132</f>
        <v>3941</v>
      </c>
      <c r="H151" s="17" t="n">
        <f aca="false">H131+H132</f>
        <v>4356</v>
      </c>
      <c r="I151" s="17" t="n">
        <f aca="false">I131+I132</f>
        <v>5106</v>
      </c>
    </row>
    <row r="152" customFormat="false" ht="15" hidden="false" customHeight="false" outlineLevel="0" collapsed="false">
      <c r="A152" s="13" t="s">
        <v>83</v>
      </c>
      <c r="B152" s="13" t="s">
        <v>78</v>
      </c>
      <c r="D152" s="17" t="n">
        <f aca="false">D126+D124</f>
        <v>2625</v>
      </c>
      <c r="E152" s="17" t="n">
        <f aca="false">E126+E124</f>
        <v>2222</v>
      </c>
      <c r="F152" s="17" t="n">
        <f aca="false">F126+F124</f>
        <v>3202</v>
      </c>
      <c r="G152" s="17" t="n">
        <f aca="false">G126+G124</f>
        <v>3077</v>
      </c>
      <c r="H152" s="17" t="n">
        <f aca="false">H126+H124</f>
        <v>3066</v>
      </c>
      <c r="I152" s="17" t="n">
        <f aca="false">I126+I124</f>
        <v>3402</v>
      </c>
    </row>
    <row r="153" customFormat="false" ht="15" hidden="false" customHeight="false" outlineLevel="0" collapsed="false">
      <c r="A153" s="13" t="s">
        <v>83</v>
      </c>
      <c r="B153" s="13" t="s">
        <v>79</v>
      </c>
      <c r="D153" s="17" t="n">
        <f aca="false">D151+D133</f>
        <v>5655</v>
      </c>
      <c r="E153" s="17" t="n">
        <f aca="false">E151+E133</f>
        <v>5039</v>
      </c>
      <c r="F153" s="17" t="n">
        <f aca="false">F151+F133</f>
        <v>6531</v>
      </c>
      <c r="G153" s="17" t="n">
        <f aca="false">G151+G133</f>
        <v>6006</v>
      </c>
      <c r="H153" s="17" t="n">
        <f aca="false">H151+H133</f>
        <v>5603</v>
      </c>
      <c r="I153" s="17" t="n">
        <f aca="false">I151+I133</f>
        <v>6486</v>
      </c>
    </row>
    <row r="154" customFormat="false" ht="15" hidden="false" customHeight="false" outlineLevel="0" collapsed="false">
      <c r="A154" s="13" t="s">
        <v>83</v>
      </c>
      <c r="B154" s="13" t="s">
        <v>80</v>
      </c>
      <c r="D154" s="17" t="n">
        <f aca="false">D140-D135</f>
        <v>1</v>
      </c>
      <c r="E154" s="17" t="n">
        <f aca="false">E140-E135</f>
        <v>-1</v>
      </c>
      <c r="F154" s="17" t="n">
        <f aca="false">F140-F135</f>
        <v>-1</v>
      </c>
      <c r="G154" s="17" t="n">
        <f aca="false">G140-G135</f>
        <v>0</v>
      </c>
      <c r="H154" s="17" t="n">
        <f aca="false">H140-H135</f>
        <v>-1</v>
      </c>
      <c r="I154" s="17" t="n">
        <f aca="false">I140-I135</f>
        <v>1</v>
      </c>
    </row>
    <row r="156" customFormat="false" ht="15" hidden="false" customHeight="false" outlineLevel="0" collapsed="false">
      <c r="A156" s="8" t="s">
        <v>84</v>
      </c>
      <c r="B156" s="8" t="s">
        <v>38</v>
      </c>
      <c r="C156" s="8"/>
      <c r="D156" s="9" t="s">
        <v>39</v>
      </c>
      <c r="E156" s="9" t="s">
        <v>40</v>
      </c>
      <c r="F156" s="9" t="s">
        <v>41</v>
      </c>
      <c r="G156" s="9" t="s">
        <v>42</v>
      </c>
      <c r="H156" s="9" t="s">
        <v>43</v>
      </c>
      <c r="I156" s="9" t="s">
        <v>44</v>
      </c>
    </row>
    <row r="157" customFormat="false" ht="15" hidden="false" customHeight="false" outlineLevel="0" collapsed="false">
      <c r="A157" s="10" t="s">
        <v>84</v>
      </c>
      <c r="B157" s="11" t="s">
        <v>45</v>
      </c>
      <c r="C157" s="12"/>
      <c r="D157" s="12"/>
      <c r="E157" s="12"/>
      <c r="F157" s="12"/>
      <c r="G157" s="12"/>
      <c r="H157" s="12"/>
      <c r="I157" s="12"/>
    </row>
    <row r="158" customFormat="false" ht="15" hidden="false" customHeight="false" outlineLevel="0" collapsed="false">
      <c r="A158" s="13" t="s">
        <v>84</v>
      </c>
      <c r="B158" s="13" t="s">
        <v>46</v>
      </c>
      <c r="D158" s="14" t="n">
        <v>8048</v>
      </c>
      <c r="E158" s="14" t="n">
        <v>9512</v>
      </c>
      <c r="F158" s="14" t="n">
        <v>9764</v>
      </c>
      <c r="G158" s="14" t="n">
        <v>9653</v>
      </c>
      <c r="H158" s="14" t="n">
        <v>10831</v>
      </c>
      <c r="I158" s="14" t="n">
        <v>13611</v>
      </c>
    </row>
    <row r="159" customFormat="false" ht="15" hidden="false" customHeight="false" outlineLevel="0" collapsed="false">
      <c r="A159" s="13" t="s">
        <v>84</v>
      </c>
      <c r="B159" s="13" t="s">
        <v>47</v>
      </c>
      <c r="D159" s="14" t="n">
        <v>6459</v>
      </c>
      <c r="E159" s="14" t="n">
        <v>7831</v>
      </c>
      <c r="F159" s="14" t="n">
        <v>7954</v>
      </c>
      <c r="G159" s="14" t="n">
        <v>7627</v>
      </c>
      <c r="H159" s="14" t="n">
        <v>8692</v>
      </c>
      <c r="I159" s="14" t="n">
        <v>11283</v>
      </c>
    </row>
    <row r="160" customFormat="false" ht="15" hidden="false" customHeight="false" outlineLevel="0" collapsed="false">
      <c r="A160" s="13" t="s">
        <v>84</v>
      </c>
      <c r="B160" s="13" t="s">
        <v>48</v>
      </c>
      <c r="D160" s="14" t="n">
        <v>1589</v>
      </c>
      <c r="E160" s="14" t="n">
        <v>1681</v>
      </c>
      <c r="F160" s="14" t="n">
        <v>1810</v>
      </c>
      <c r="G160" s="14" t="n">
        <v>2026</v>
      </c>
      <c r="H160" s="14" t="n">
        <v>2139</v>
      </c>
      <c r="I160" s="14" t="n">
        <v>2328</v>
      </c>
    </row>
    <row r="161" customFormat="false" ht="15" hidden="false" customHeight="false" outlineLevel="0" collapsed="false">
      <c r="A161" s="13" t="s">
        <v>84</v>
      </c>
      <c r="B161" s="13" t="s">
        <v>49</v>
      </c>
      <c r="D161" s="14" t="n">
        <v>107</v>
      </c>
      <c r="E161" s="14" t="n">
        <v>98</v>
      </c>
      <c r="F161" s="14" t="n">
        <v>144</v>
      </c>
      <c r="G161" s="14" t="n">
        <v>142</v>
      </c>
      <c r="H161" s="14" t="n">
        <v>208</v>
      </c>
      <c r="I161" s="14" t="n">
        <v>204</v>
      </c>
    </row>
    <row r="162" customFormat="false" ht="15" hidden="false" customHeight="false" outlineLevel="0" collapsed="false">
      <c r="A162" s="13" t="s">
        <v>84</v>
      </c>
      <c r="B162" s="13" t="s">
        <v>50</v>
      </c>
      <c r="D162" s="14" t="n">
        <v>34</v>
      </c>
      <c r="E162" s="14" t="n">
        <v>39</v>
      </c>
      <c r="F162" s="14" t="n">
        <v>56</v>
      </c>
      <c r="G162" s="14" t="n">
        <v>73</v>
      </c>
      <c r="H162" s="14" t="n">
        <v>53</v>
      </c>
      <c r="I162" s="14" t="n">
        <v>53</v>
      </c>
    </row>
    <row r="163" customFormat="false" ht="15" hidden="false" customHeight="false" outlineLevel="0" collapsed="false">
      <c r="A163" s="13" t="s">
        <v>84</v>
      </c>
      <c r="B163" s="13" t="s">
        <v>51</v>
      </c>
      <c r="D163" s="14" t="n">
        <v>139</v>
      </c>
      <c r="E163" s="14" t="n">
        <v>139</v>
      </c>
      <c r="F163" s="14" t="n">
        <v>155</v>
      </c>
      <c r="G163" s="14" t="n">
        <v>158</v>
      </c>
      <c r="H163" s="14" t="n">
        <v>178</v>
      </c>
      <c r="I163" s="14" t="n">
        <v>202</v>
      </c>
    </row>
    <row r="164" customFormat="false" ht="15" hidden="false" customHeight="false" outlineLevel="0" collapsed="false">
      <c r="A164" s="13" t="s">
        <v>84</v>
      </c>
      <c r="B164" s="13" t="s">
        <v>52</v>
      </c>
      <c r="D164" s="14" t="n">
        <v>1523</v>
      </c>
      <c r="E164" s="14" t="n">
        <v>1601</v>
      </c>
      <c r="F164" s="14" t="n">
        <v>1743</v>
      </c>
      <c r="G164" s="14" t="n">
        <v>1937</v>
      </c>
      <c r="H164" s="14" t="n">
        <v>2116</v>
      </c>
      <c r="I164" s="14" t="n">
        <v>2277</v>
      </c>
    </row>
    <row r="165" customFormat="false" ht="15" hidden="false" customHeight="false" outlineLevel="0" collapsed="false">
      <c r="A165" s="13" t="s">
        <v>84</v>
      </c>
      <c r="B165" s="13" t="s">
        <v>53</v>
      </c>
      <c r="D165" s="14" t="n">
        <v>1199</v>
      </c>
      <c r="E165" s="14" t="n">
        <v>1255</v>
      </c>
      <c r="F165" s="14" t="n">
        <v>1322</v>
      </c>
      <c r="G165" s="14" t="n">
        <v>1502</v>
      </c>
      <c r="H165" s="14" t="n">
        <v>1658</v>
      </c>
      <c r="I165" s="14" t="n">
        <v>1813</v>
      </c>
    </row>
    <row r="166" customFormat="false" ht="15" hidden="false" customHeight="false" outlineLevel="0" collapsed="false">
      <c r="A166" s="13" t="s">
        <v>84</v>
      </c>
      <c r="B166" s="13" t="s">
        <v>54</v>
      </c>
      <c r="D166" s="15" t="n">
        <v>9.08</v>
      </c>
      <c r="E166" s="15" t="n">
        <v>9.48</v>
      </c>
      <c r="F166" s="15" t="n">
        <v>10.07</v>
      </c>
      <c r="G166" s="15" t="n">
        <v>11.44</v>
      </c>
      <c r="H166" s="15" t="n">
        <v>12.57</v>
      </c>
      <c r="I166" s="15" t="n">
        <v>13.57</v>
      </c>
    </row>
    <row r="167" customFormat="false" ht="15" hidden="false" customHeight="false" outlineLevel="0" collapsed="false">
      <c r="A167" s="13" t="s">
        <v>84</v>
      </c>
      <c r="B167" s="13" t="s">
        <v>55</v>
      </c>
      <c r="D167" s="16" t="n">
        <v>0.83</v>
      </c>
      <c r="E167" s="16" t="n">
        <v>0.97</v>
      </c>
      <c r="F167" s="16" t="n">
        <v>0.45</v>
      </c>
      <c r="G167" s="16" t="n">
        <v>0.83</v>
      </c>
      <c r="H167" s="16" t="n">
        <v>0.83</v>
      </c>
      <c r="I167" s="16" t="n">
        <v>0.3</v>
      </c>
    </row>
    <row r="168" customFormat="false" ht="15" hidden="false" customHeight="false" outlineLevel="0" collapsed="false">
      <c r="A168" s="10" t="s">
        <v>84</v>
      </c>
      <c r="B168" s="11" t="s">
        <v>56</v>
      </c>
      <c r="C168" s="12"/>
      <c r="D168" s="12"/>
      <c r="E168" s="12"/>
      <c r="F168" s="12"/>
      <c r="G168" s="12"/>
      <c r="H168" s="12"/>
      <c r="I168" s="12"/>
    </row>
    <row r="169" customFormat="false" ht="15" hidden="false" customHeight="false" outlineLevel="0" collapsed="false">
      <c r="A169" s="13" t="s">
        <v>84</v>
      </c>
      <c r="B169" s="13" t="s">
        <v>57</v>
      </c>
      <c r="D169" s="14" t="n">
        <v>129</v>
      </c>
      <c r="E169" s="14" t="n">
        <v>129</v>
      </c>
      <c r="F169" s="14" t="n">
        <v>129</v>
      </c>
      <c r="G169" s="14" t="n">
        <v>129</v>
      </c>
      <c r="H169" s="14" t="n">
        <v>129</v>
      </c>
      <c r="I169" s="14" t="n">
        <v>130</v>
      </c>
    </row>
    <row r="170" customFormat="false" ht="15" hidden="false" customHeight="false" outlineLevel="0" collapsed="false">
      <c r="A170" s="13" t="s">
        <v>84</v>
      </c>
      <c r="B170" s="13" t="s">
        <v>58</v>
      </c>
      <c r="D170" s="14" t="n">
        <v>3111</v>
      </c>
      <c r="E170" s="14" t="n">
        <v>3219</v>
      </c>
      <c r="F170" s="14" t="n">
        <v>3670</v>
      </c>
      <c r="G170" s="14" t="n">
        <v>3703</v>
      </c>
      <c r="H170" s="14" t="n">
        <v>3846</v>
      </c>
      <c r="I170" s="14" t="n">
        <v>4080</v>
      </c>
    </row>
    <row r="171" customFormat="false" ht="15" hidden="false" customHeight="false" outlineLevel="0" collapsed="false">
      <c r="A171" s="13" t="s">
        <v>84</v>
      </c>
      <c r="B171" s="13" t="s">
        <v>59</v>
      </c>
      <c r="D171" s="14" t="n">
        <v>511</v>
      </c>
      <c r="E171" s="14" t="n">
        <v>479</v>
      </c>
      <c r="F171" s="14" t="n">
        <v>608</v>
      </c>
      <c r="G171" s="14" t="n">
        <v>528</v>
      </c>
      <c r="H171" s="14" t="n">
        <v>554</v>
      </c>
      <c r="I171" s="14" t="n">
        <v>557</v>
      </c>
    </row>
    <row r="172" customFormat="false" ht="15" hidden="false" customHeight="false" outlineLevel="0" collapsed="false">
      <c r="A172" s="13" t="s">
        <v>84</v>
      </c>
      <c r="B172" s="13" t="s">
        <v>60</v>
      </c>
      <c r="D172" s="14" t="n">
        <v>1675</v>
      </c>
      <c r="E172" s="14" t="n">
        <v>1850</v>
      </c>
      <c r="F172" s="14" t="n">
        <v>2393</v>
      </c>
      <c r="G172" s="14" t="n">
        <v>2993</v>
      </c>
      <c r="H172" s="14" t="n">
        <v>3746</v>
      </c>
      <c r="I172" s="14" t="n">
        <v>5183</v>
      </c>
    </row>
    <row r="173" customFormat="false" ht="15" hidden="false" customHeight="false" outlineLevel="0" collapsed="false">
      <c r="A173" s="13" t="s">
        <v>84</v>
      </c>
      <c r="B173" s="13" t="s">
        <v>61</v>
      </c>
      <c r="D173" s="14" t="n">
        <v>5426</v>
      </c>
      <c r="E173" s="14" t="n">
        <v>5677</v>
      </c>
      <c r="F173" s="14" t="n">
        <v>6800</v>
      </c>
      <c r="G173" s="14" t="n">
        <v>7353</v>
      </c>
      <c r="H173" s="14" t="n">
        <v>8275</v>
      </c>
      <c r="I173" s="14" t="n">
        <v>9950</v>
      </c>
    </row>
    <row r="174" customFormat="false" ht="15" hidden="false" customHeight="false" outlineLevel="0" collapsed="false">
      <c r="A174" s="13" t="s">
        <v>84</v>
      </c>
      <c r="B174" s="13" t="s">
        <v>62</v>
      </c>
      <c r="D174" s="14" t="n">
        <v>1612</v>
      </c>
      <c r="E174" s="14" t="n">
        <v>1760</v>
      </c>
      <c r="F174" s="14" t="n">
        <v>2246</v>
      </c>
      <c r="G174" s="14" t="n">
        <v>2724</v>
      </c>
      <c r="H174" s="14" t="n">
        <v>2758</v>
      </c>
      <c r="I174" s="14" t="n">
        <v>3633</v>
      </c>
    </row>
    <row r="175" customFormat="false" ht="15" hidden="false" customHeight="false" outlineLevel="0" collapsed="false">
      <c r="A175" s="13" t="s">
        <v>84</v>
      </c>
      <c r="B175" s="13" t="s">
        <v>63</v>
      </c>
      <c r="D175" s="14" t="n">
        <v>24</v>
      </c>
      <c r="E175" s="14" t="n">
        <v>39</v>
      </c>
      <c r="F175" s="14" t="n">
        <v>67</v>
      </c>
      <c r="G175" s="14" t="n">
        <v>44</v>
      </c>
      <c r="H175" s="14" t="n">
        <v>40</v>
      </c>
      <c r="I175" s="14" t="n">
        <v>85</v>
      </c>
    </row>
    <row r="176" customFormat="false" ht="15" hidden="false" customHeight="false" outlineLevel="0" collapsed="false">
      <c r="A176" s="13" t="s">
        <v>84</v>
      </c>
      <c r="B176" s="13" t="s">
        <v>64</v>
      </c>
      <c r="D176" s="14" t="n">
        <v>854</v>
      </c>
      <c r="E176" s="14" t="n">
        <v>828</v>
      </c>
      <c r="F176" s="14" t="n">
        <v>1096</v>
      </c>
      <c r="G176" s="14" t="n">
        <v>602</v>
      </c>
      <c r="H176" s="14" t="n">
        <v>1590</v>
      </c>
      <c r="I176" s="14" t="n">
        <v>2083</v>
      </c>
    </row>
    <row r="177" customFormat="false" ht="15" hidden="false" customHeight="false" outlineLevel="0" collapsed="false">
      <c r="A177" s="13" t="s">
        <v>84</v>
      </c>
      <c r="B177" s="13" t="s">
        <v>65</v>
      </c>
      <c r="D177" s="14" t="n">
        <v>2936</v>
      </c>
      <c r="E177" s="14" t="n">
        <v>3050</v>
      </c>
      <c r="F177" s="14" t="n">
        <v>3391</v>
      </c>
      <c r="G177" s="14" t="n">
        <v>3983</v>
      </c>
      <c r="H177" s="14" t="n">
        <v>3887</v>
      </c>
      <c r="I177" s="14" t="n">
        <v>4149</v>
      </c>
    </row>
    <row r="178" customFormat="false" ht="15" hidden="false" customHeight="false" outlineLevel="0" collapsed="false">
      <c r="A178" s="13" t="s">
        <v>84</v>
      </c>
      <c r="B178" s="13" t="s">
        <v>66</v>
      </c>
      <c r="D178" s="17" t="n">
        <f aca="false">D174+D175+D176+D177</f>
        <v>5426</v>
      </c>
      <c r="E178" s="17" t="n">
        <f aca="false">E174+E175+E176+E177</f>
        <v>5677</v>
      </c>
      <c r="F178" s="17" t="n">
        <f aca="false">F174+F175+F176+F177</f>
        <v>6800</v>
      </c>
      <c r="G178" s="17" t="n">
        <f aca="false">G174+G175+G176+G177</f>
        <v>7353</v>
      </c>
      <c r="H178" s="17" t="n">
        <f aca="false">H174+H175+H176+H177</f>
        <v>8275</v>
      </c>
      <c r="I178" s="17" t="n">
        <f aca="false">I174+I175+I176+I177</f>
        <v>9950</v>
      </c>
    </row>
    <row r="179" customFormat="false" ht="15" hidden="false" customHeight="false" outlineLevel="0" collapsed="false">
      <c r="A179" s="10" t="s">
        <v>84</v>
      </c>
      <c r="B179" s="11" t="s">
        <v>67</v>
      </c>
      <c r="C179" s="12"/>
      <c r="D179" s="12"/>
      <c r="E179" s="12"/>
      <c r="F179" s="12"/>
      <c r="G179" s="12"/>
      <c r="H179" s="12"/>
      <c r="I179" s="12"/>
    </row>
    <row r="180" customFormat="false" ht="15" hidden="false" customHeight="false" outlineLevel="0" collapsed="false">
      <c r="A180" s="13" t="s">
        <v>84</v>
      </c>
      <c r="B180" s="13" t="s">
        <v>68</v>
      </c>
      <c r="D180" s="14" t="n">
        <v>2007</v>
      </c>
      <c r="E180" s="14" t="n">
        <v>1016</v>
      </c>
      <c r="F180" s="14" t="n">
        <v>1419</v>
      </c>
      <c r="G180" s="14" t="n">
        <v>1387</v>
      </c>
      <c r="H180" s="14" t="n">
        <v>1363</v>
      </c>
      <c r="I180" s="14" t="n">
        <v>2084</v>
      </c>
    </row>
    <row r="181" customFormat="false" ht="15" hidden="false" customHeight="false" outlineLevel="0" collapsed="false">
      <c r="A181" s="13" t="s">
        <v>84</v>
      </c>
      <c r="B181" s="13" t="s">
        <v>69</v>
      </c>
      <c r="D181" s="14" t="n">
        <v>-933</v>
      </c>
      <c r="E181" s="14" t="n">
        <v>441</v>
      </c>
      <c r="F181" s="14" t="n">
        <v>-928</v>
      </c>
      <c r="G181" s="14" t="n">
        <v>176</v>
      </c>
      <c r="H181" s="14" t="n">
        <v>-621</v>
      </c>
      <c r="I181" s="14" t="n">
        <v>-722</v>
      </c>
    </row>
    <row r="182" customFormat="false" ht="15" hidden="false" customHeight="false" outlineLevel="0" collapsed="false">
      <c r="A182" s="13" t="s">
        <v>84</v>
      </c>
      <c r="B182" s="13" t="s">
        <v>70</v>
      </c>
      <c r="D182" s="14" t="n">
        <v>-1058</v>
      </c>
      <c r="E182" s="14" t="n">
        <v>-1290</v>
      </c>
      <c r="F182" s="14" t="n">
        <v>-560</v>
      </c>
      <c r="G182" s="14" t="n">
        <v>-1542</v>
      </c>
      <c r="H182" s="14" t="n">
        <v>-649</v>
      </c>
      <c r="I182" s="14" t="n">
        <v>-1279</v>
      </c>
    </row>
    <row r="183" customFormat="false" ht="15" hidden="false" customHeight="false" outlineLevel="0" collapsed="false">
      <c r="A183" s="13" t="s">
        <v>84</v>
      </c>
      <c r="B183" s="13" t="s">
        <v>71</v>
      </c>
      <c r="D183" s="14" t="n">
        <v>1870</v>
      </c>
      <c r="E183" s="14" t="n">
        <v>884</v>
      </c>
      <c r="F183" s="14" t="n">
        <v>1237</v>
      </c>
      <c r="G183" s="14" t="n">
        <v>1234</v>
      </c>
      <c r="H183" s="14" t="n">
        <v>1241</v>
      </c>
      <c r="I183" s="14" t="n">
        <v>1772</v>
      </c>
    </row>
    <row r="184" customFormat="false" ht="15" hidden="false" customHeight="false" outlineLevel="0" collapsed="false">
      <c r="A184" s="10" t="s">
        <v>84</v>
      </c>
      <c r="B184" s="11" t="s">
        <v>72</v>
      </c>
      <c r="C184" s="12"/>
      <c r="D184" s="12"/>
      <c r="E184" s="12"/>
      <c r="F184" s="12"/>
      <c r="G184" s="12"/>
      <c r="H184" s="12"/>
      <c r="I184" s="12"/>
    </row>
    <row r="185" customFormat="false" ht="15" hidden="false" customHeight="false" outlineLevel="0" collapsed="false">
      <c r="A185" s="13" t="s">
        <v>84</v>
      </c>
      <c r="B185" s="13" t="s">
        <v>73</v>
      </c>
      <c r="D185" s="18" t="n">
        <v>18</v>
      </c>
      <c r="E185" s="18" t="n">
        <v>25</v>
      </c>
      <c r="F185" s="18" t="n">
        <v>38</v>
      </c>
      <c r="G185" s="18" t="n">
        <v>40</v>
      </c>
      <c r="H185" s="18" t="n">
        <v>43</v>
      </c>
      <c r="I185" s="18" t="n">
        <v>35</v>
      </c>
    </row>
    <row r="186" customFormat="false" ht="15" hidden="false" customHeight="false" outlineLevel="0" collapsed="false">
      <c r="A186" s="13" t="s">
        <v>84</v>
      </c>
      <c r="B186" s="13" t="s">
        <v>74</v>
      </c>
      <c r="D186" s="18" t="n">
        <v>108</v>
      </c>
      <c r="E186" s="18" t="n">
        <v>106</v>
      </c>
      <c r="F186" s="18" t="n">
        <v>94</v>
      </c>
      <c r="G186" s="18" t="n">
        <v>116</v>
      </c>
      <c r="H186" s="18" t="n">
        <v>93</v>
      </c>
      <c r="I186" s="18" t="n">
        <v>85</v>
      </c>
    </row>
    <row r="187" customFormat="false" ht="15" hidden="false" customHeight="false" outlineLevel="0" collapsed="false">
      <c r="A187" s="13" t="s">
        <v>84</v>
      </c>
      <c r="B187" s="13" t="s">
        <v>75</v>
      </c>
      <c r="D187" s="18" t="n">
        <v>109</v>
      </c>
      <c r="E187" s="18" t="n">
        <v>101</v>
      </c>
      <c r="F187" s="18" t="n">
        <v>112</v>
      </c>
      <c r="G187" s="18" t="n">
        <v>137</v>
      </c>
      <c r="H187" s="18" t="n">
        <v>103</v>
      </c>
      <c r="I187" s="18" t="n">
        <v>108</v>
      </c>
    </row>
    <row r="188" customFormat="false" ht="15" hidden="false" customHeight="false" outlineLevel="0" collapsed="false">
      <c r="A188" s="10" t="s">
        <v>84</v>
      </c>
      <c r="B188" s="11" t="s">
        <v>76</v>
      </c>
      <c r="C188" s="12"/>
      <c r="D188" s="12"/>
      <c r="E188" s="12"/>
      <c r="F188" s="12"/>
      <c r="G188" s="12"/>
      <c r="H188" s="12"/>
      <c r="I188" s="12"/>
    </row>
    <row r="189" customFormat="false" ht="15" hidden="false" customHeight="false" outlineLevel="0" collapsed="false">
      <c r="A189" s="13" t="s">
        <v>84</v>
      </c>
      <c r="B189" s="13" t="s">
        <v>77</v>
      </c>
      <c r="D189" s="17" t="n">
        <f aca="false">D169+D170</f>
        <v>3240</v>
      </c>
      <c r="E189" s="17" t="n">
        <f aca="false">E169+E170</f>
        <v>3348</v>
      </c>
      <c r="F189" s="17" t="n">
        <f aca="false">F169+F170</f>
        <v>3799</v>
      </c>
      <c r="G189" s="17" t="n">
        <f aca="false">G169+G170</f>
        <v>3832</v>
      </c>
      <c r="H189" s="17" t="n">
        <f aca="false">H169+H170</f>
        <v>3975</v>
      </c>
      <c r="I189" s="17" t="n">
        <f aca="false">I169+I170</f>
        <v>4210</v>
      </c>
    </row>
    <row r="190" customFormat="false" ht="15" hidden="false" customHeight="false" outlineLevel="0" collapsed="false">
      <c r="A190" s="13" t="s">
        <v>84</v>
      </c>
      <c r="B190" s="13" t="s">
        <v>78</v>
      </c>
      <c r="D190" s="17" t="n">
        <f aca="false">D164+D162</f>
        <v>1557</v>
      </c>
      <c r="E190" s="17" t="n">
        <f aca="false">E164+E162</f>
        <v>1640</v>
      </c>
      <c r="F190" s="17" t="n">
        <f aca="false">F164+F162</f>
        <v>1799</v>
      </c>
      <c r="G190" s="17" t="n">
        <f aca="false">G164+G162</f>
        <v>2010</v>
      </c>
      <c r="H190" s="17" t="n">
        <f aca="false">H164+H162</f>
        <v>2169</v>
      </c>
      <c r="I190" s="17" t="n">
        <f aca="false">I164+I162</f>
        <v>2330</v>
      </c>
    </row>
    <row r="191" customFormat="false" ht="15" hidden="false" customHeight="false" outlineLevel="0" collapsed="false">
      <c r="A191" s="13" t="s">
        <v>84</v>
      </c>
      <c r="B191" s="13" t="s">
        <v>79</v>
      </c>
      <c r="D191" s="17" t="n">
        <f aca="false">D189+D171</f>
        <v>3751</v>
      </c>
      <c r="E191" s="17" t="n">
        <f aca="false">E189+E171</f>
        <v>3827</v>
      </c>
      <c r="F191" s="17" t="n">
        <f aca="false">F189+F171</f>
        <v>4407</v>
      </c>
      <c r="G191" s="17" t="n">
        <f aca="false">G189+G171</f>
        <v>4360</v>
      </c>
      <c r="H191" s="17" t="n">
        <f aca="false">H189+H171</f>
        <v>4529</v>
      </c>
      <c r="I191" s="17" t="n">
        <f aca="false">I189+I171</f>
        <v>4767</v>
      </c>
    </row>
    <row r="192" customFormat="false" ht="15" hidden="false" customHeight="false" outlineLevel="0" collapsed="false">
      <c r="A192" s="13" t="s">
        <v>84</v>
      </c>
      <c r="B192" s="13" t="s">
        <v>80</v>
      </c>
      <c r="D192" s="17" t="n">
        <f aca="false">D178-D173</f>
        <v>0</v>
      </c>
      <c r="E192" s="17" t="n">
        <f aca="false">E178-E173</f>
        <v>0</v>
      </c>
      <c r="F192" s="17" t="n">
        <f aca="false">F178-F173</f>
        <v>0</v>
      </c>
      <c r="G192" s="17" t="n">
        <f aca="false">G178-G173</f>
        <v>0</v>
      </c>
      <c r="H192" s="17" t="n">
        <f aca="false">H178-H173</f>
        <v>0</v>
      </c>
      <c r="I192" s="17" t="n">
        <f aca="false">I178-I173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44"/>
    <col collapsed="false" customWidth="true" hidden="false" outlineLevel="0" max="9" min="4" style="0" width="12"/>
    <col collapsed="false" customWidth="true" hidden="false" outlineLevel="0" max="10" min="10" style="0" width="17"/>
  </cols>
  <sheetData>
    <row r="1" customFormat="false" ht="16.15" hidden="false" customHeight="false" outlineLevel="0" collapsed="false">
      <c r="A1" s="6" t="s">
        <v>85</v>
      </c>
    </row>
    <row r="2" customFormat="false" ht="15" hidden="false" customHeight="false" outlineLevel="0" collapsed="false">
      <c r="A2" s="7" t="s">
        <v>86</v>
      </c>
    </row>
    <row r="4" customFormat="false" ht="15" hidden="false" customHeight="false" outlineLevel="0" collapsed="false">
      <c r="A4" s="8" t="s">
        <v>37</v>
      </c>
      <c r="B4" s="8" t="s">
        <v>87</v>
      </c>
      <c r="C4" s="8" t="s">
        <v>88</v>
      </c>
      <c r="D4" s="9" t="s">
        <v>39</v>
      </c>
      <c r="E4" s="9" t="s">
        <v>40</v>
      </c>
      <c r="F4" s="9" t="s">
        <v>41</v>
      </c>
      <c r="G4" s="9" t="s">
        <v>42</v>
      </c>
      <c r="H4" s="9" t="s">
        <v>43</v>
      </c>
      <c r="I4" s="9" t="s">
        <v>44</v>
      </c>
      <c r="J4" s="9" t="s">
        <v>89</v>
      </c>
    </row>
    <row r="5" customFormat="false" ht="15" hidden="false" customHeight="false" outlineLevel="0" collapsed="false">
      <c r="A5" s="19" t="s">
        <v>37</v>
      </c>
      <c r="B5" s="11" t="s">
        <v>90</v>
      </c>
      <c r="C5" s="12"/>
      <c r="D5" s="12"/>
      <c r="E5" s="12"/>
      <c r="F5" s="12"/>
      <c r="G5" s="12"/>
      <c r="H5" s="12"/>
      <c r="I5" s="12"/>
      <c r="J5" s="12"/>
    </row>
    <row r="6" customFormat="false" ht="15" hidden="false" customHeight="false" outlineLevel="0" collapsed="false">
      <c r="A6" s="20" t="s">
        <v>37</v>
      </c>
      <c r="B6" s="20" t="s">
        <v>91</v>
      </c>
      <c r="C6" s="21" t="s">
        <v>92</v>
      </c>
      <c r="D6" s="22" t="s">
        <v>93</v>
      </c>
      <c r="E6" s="23" t="n">
        <f aca="false">Financials!E6/Financials!D6-1</f>
        <v>0.115207961214596</v>
      </c>
      <c r="F6" s="23" t="n">
        <f aca="false">Financials!F6/Financials!E6-1</f>
        <v>0.155092857415246</v>
      </c>
      <c r="G6" s="23" t="n">
        <f aca="false">Financials!G6/Financials!F6-1</f>
        <v>0.0217233410366458</v>
      </c>
      <c r="H6" s="23" t="n">
        <f aca="false">Financials!H6/Financials!G6-1</f>
        <v>-0.00917668346904488</v>
      </c>
      <c r="I6" s="23" t="n">
        <f aca="false">Financials!I6/Financials!H6-1</f>
        <v>0.0512001043569006</v>
      </c>
      <c r="J6" s="24" t="n">
        <f aca="false">AVERAGE(E6:I6)</f>
        <v>0.0668095161108686</v>
      </c>
    </row>
    <row r="7" customFormat="false" ht="15" hidden="false" customHeight="false" outlineLevel="0" collapsed="false">
      <c r="A7" s="20" t="s">
        <v>37</v>
      </c>
      <c r="B7" s="20" t="s">
        <v>94</v>
      </c>
      <c r="C7" s="21" t="s">
        <v>95</v>
      </c>
      <c r="D7" s="22" t="s">
        <v>93</v>
      </c>
      <c r="E7" s="23" t="n">
        <f aca="false">Financials!E13/Financials!D13-1</f>
        <v>0.111638954869359</v>
      </c>
      <c r="F7" s="23" t="n">
        <f aca="false">Financials!F13/Financials!E13-1</f>
        <v>0.140688259109312</v>
      </c>
      <c r="G7" s="23" t="n">
        <f aca="false">Financials!G13/Financials!F13-1</f>
        <v>0.0137040323375728</v>
      </c>
      <c r="H7" s="23" t="n">
        <f aca="false">Financials!H13/Financials!G13-1</f>
        <v>0.0378331063995332</v>
      </c>
      <c r="I7" s="23" t="n">
        <f aca="false">Financials!I13/Financials!H13-1</f>
        <v>0.411207946771624</v>
      </c>
      <c r="J7" s="24" t="n">
        <f aca="false">AVERAGE(E7:I7)</f>
        <v>0.14301445989748</v>
      </c>
    </row>
    <row r="8" customFormat="false" ht="15" hidden="false" customHeight="false" outlineLevel="0" collapsed="false">
      <c r="A8" s="19" t="s">
        <v>37</v>
      </c>
      <c r="B8" s="11" t="s">
        <v>96</v>
      </c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false" outlineLevel="0" collapsed="false">
      <c r="A9" s="20" t="s">
        <v>37</v>
      </c>
      <c r="B9" s="20" t="s">
        <v>97</v>
      </c>
      <c r="C9" s="21" t="s">
        <v>98</v>
      </c>
      <c r="D9" s="23" t="n">
        <f aca="false">Financials!D8/Financials!D6</f>
        <v>0.247214425448669</v>
      </c>
      <c r="E9" s="23" t="n">
        <f aca="false">Financials!E8/Financials!E6</f>
        <v>0.245147389696068</v>
      </c>
      <c r="F9" s="23" t="n">
        <f aca="false">Financials!F8/Financials!F6</f>
        <v>0.233525916143942</v>
      </c>
      <c r="G9" s="23" t="n">
        <f aca="false">Financials!G8/Financials!G6</f>
        <v>0.23683275171255</v>
      </c>
      <c r="H9" s="23" t="n">
        <f aca="false">Financials!H8/Financials!H6</f>
        <v>0.239662144534307</v>
      </c>
      <c r="I9" s="23" t="n">
        <f aca="false">Financials!I8/Financials!I6</f>
        <v>0.233278525780232</v>
      </c>
      <c r="J9" s="24" t="n">
        <f aca="false">AVERAGE(E9:I9)</f>
        <v>0.23768934557342</v>
      </c>
    </row>
    <row r="10" customFormat="false" ht="15" hidden="false" customHeight="false" outlineLevel="0" collapsed="false">
      <c r="A10" s="20" t="s">
        <v>37</v>
      </c>
      <c r="B10" s="20" t="s">
        <v>99</v>
      </c>
      <c r="C10" s="21" t="s">
        <v>100</v>
      </c>
      <c r="D10" s="23" t="n">
        <f aca="false">Financials!D13/Financials!D6</f>
        <v>0.17009015905418</v>
      </c>
      <c r="E10" s="23" t="n">
        <f aca="false">Financials!E13/Financials!E6</f>
        <v>0.169545818556229</v>
      </c>
      <c r="F10" s="23" t="n">
        <f aca="false">Financials!F13/Financials!F6</f>
        <v>0.167431495543084</v>
      </c>
      <c r="G10" s="23" t="n">
        <f aca="false">Financials!G13/Financials!G6</f>
        <v>0.166117358149153</v>
      </c>
      <c r="H10" s="23" t="n">
        <f aca="false">Financials!H13/Financials!H6</f>
        <v>0.173998825984868</v>
      </c>
      <c r="I10" s="23" t="n">
        <f aca="false">Financials!I13/Financials!I6</f>
        <v>0.233588757212881</v>
      </c>
      <c r="J10" s="24" t="n">
        <f aca="false">AVERAGE(E10:I10)</f>
        <v>0.182136451089243</v>
      </c>
    </row>
    <row r="11" customFormat="false" ht="15" hidden="false" customHeight="false" outlineLevel="0" collapsed="false">
      <c r="A11" s="20" t="s">
        <v>37</v>
      </c>
      <c r="B11" s="20" t="s">
        <v>101</v>
      </c>
      <c r="C11" s="21" t="s">
        <v>102</v>
      </c>
      <c r="D11" s="22" t="s">
        <v>93</v>
      </c>
      <c r="E11" s="23" t="n">
        <f aca="false">Financials!E13/((Financials!E37+Financials!D37)/2)</f>
        <v>0.183842456194759</v>
      </c>
      <c r="F11" s="23" t="n">
        <f aca="false">Financials!F13/((Financials!F37+Financials!E37)/2)</f>
        <v>0.204156393096161</v>
      </c>
      <c r="G11" s="23" t="n">
        <f aca="false">Financials!G13/((Financials!G37+Financials!F37)/2)</f>
        <v>0.202557081223774</v>
      </c>
      <c r="H11" s="23" t="n">
        <f aca="false">Financials!H13/((Financials!H37+Financials!G37)/2)</f>
        <v>0.212104949314252</v>
      </c>
      <c r="I11" s="23" t="n">
        <f aca="false">Financials!I13/((Financials!I37+Financials!H37)/2)</f>
        <v>0.306884992001304</v>
      </c>
      <c r="J11" s="24" t="n">
        <f aca="false">AVERAGE(E11:I11)</f>
        <v>0.22190917436605</v>
      </c>
    </row>
    <row r="12" customFormat="false" ht="15" hidden="false" customHeight="false" outlineLevel="0" collapsed="false">
      <c r="A12" s="20" t="s">
        <v>37</v>
      </c>
      <c r="B12" s="20" t="s">
        <v>103</v>
      </c>
      <c r="C12" s="21" t="s">
        <v>104</v>
      </c>
      <c r="D12" s="22" t="s">
        <v>93</v>
      </c>
      <c r="E12" s="23" t="n">
        <f aca="false">Financials!E38/((Financials!E39+Financials!D39)/2)</f>
        <v>0.245147170120068</v>
      </c>
      <c r="F12" s="23" t="n">
        <f aca="false">Financials!F38/((Financials!F39+Financials!E39)/2)</f>
        <v>0.264850876243518</v>
      </c>
      <c r="G12" s="23" t="n">
        <f aca="false">Financials!G38/((Financials!G39+Financials!F39)/2)</f>
        <v>0.273638762293116</v>
      </c>
      <c r="H12" s="23" t="n">
        <f aca="false">Financials!H38/((Financials!H39+Financials!G39)/2)</f>
        <v>0.285295705143033</v>
      </c>
      <c r="I12" s="23" t="n">
        <f aca="false">Financials!I38/((Financials!I39+Financials!H39)/2)</f>
        <v>0.367918472947752</v>
      </c>
      <c r="J12" s="24" t="n">
        <f aca="false">AVERAGE(E12:I12)</f>
        <v>0.287370197349497</v>
      </c>
    </row>
    <row r="13" customFormat="false" ht="15" hidden="false" customHeight="false" outlineLevel="0" collapsed="false">
      <c r="A13" s="20" t="s">
        <v>37</v>
      </c>
      <c r="B13" s="20" t="s">
        <v>105</v>
      </c>
      <c r="C13" s="21" t="s">
        <v>106</v>
      </c>
      <c r="D13" s="22" t="s">
        <v>93</v>
      </c>
      <c r="E13" s="23" t="n">
        <f aca="false">Financials!E13/((Financials!E26+Financials!D26)/2)</f>
        <v>0.127716415552332</v>
      </c>
      <c r="F13" s="23" t="n">
        <f aca="false">Financials!F13/((Financials!F26+Financials!E26)/2)</f>
        <v>0.141284135308498</v>
      </c>
      <c r="G13" s="23" t="n">
        <f aca="false">Financials!G13/((Financials!G26+Financials!F26)/2)</f>
        <v>0.135676866843487</v>
      </c>
      <c r="H13" s="23" t="n">
        <f aca="false">Financials!H13/((Financials!H26+Financials!G26)/2)</f>
        <v>0.13477568960291</v>
      </c>
      <c r="I13" s="23" t="n">
        <f aca="false">Financials!I13/((Financials!I26+Financials!H26)/2)</f>
        <v>0.188708090801436</v>
      </c>
      <c r="J13" s="24" t="n">
        <f aca="false">AVERAGE(E13:I13)</f>
        <v>0.145632239621733</v>
      </c>
    </row>
    <row r="14" customFormat="false" ht="15" hidden="false" customHeight="false" outlineLevel="0" collapsed="false">
      <c r="A14" s="19" t="s">
        <v>37</v>
      </c>
      <c r="B14" s="11" t="s">
        <v>107</v>
      </c>
      <c r="C14" s="12"/>
      <c r="D14" s="12"/>
      <c r="E14" s="12"/>
      <c r="F14" s="12"/>
      <c r="G14" s="12"/>
      <c r="H14" s="12"/>
      <c r="I14" s="12"/>
      <c r="J14" s="12"/>
    </row>
    <row r="15" customFormat="false" ht="15" hidden="false" customHeight="false" outlineLevel="0" collapsed="false">
      <c r="A15" s="20" t="s">
        <v>37</v>
      </c>
      <c r="B15" s="20" t="s">
        <v>108</v>
      </c>
      <c r="C15" s="21" t="s">
        <v>109</v>
      </c>
      <c r="D15" s="22" t="s">
        <v>93</v>
      </c>
      <c r="E15" s="25" t="n">
        <f aca="false">Financials!E6/((Financials!E26+Financials!D26)/2)</f>
        <v>0.753285552188214</v>
      </c>
      <c r="F15" s="25" t="n">
        <f aca="false">Financials!F6/((Financials!F26+Financials!E26)/2)</f>
        <v>0.843832487132878</v>
      </c>
      <c r="G15" s="25" t="n">
        <f aca="false">Financials!G6/((Financials!G26+Financials!F26)/2)</f>
        <v>0.816753097660425</v>
      </c>
      <c r="H15" s="25" t="n">
        <f aca="false">Financials!H6/((Financials!H26+Financials!G26)/2)</f>
        <v>0.774578154996464</v>
      </c>
      <c r="I15" s="25" t="n">
        <f aca="false">Financials!I6/((Financials!I26+Financials!H26)/2)</f>
        <v>0.807864612377115</v>
      </c>
      <c r="J15" s="26" t="n">
        <f aca="false">AVERAGE(E15:I15)</f>
        <v>0.799262780871019</v>
      </c>
    </row>
    <row r="16" customFormat="false" ht="15" hidden="false" customHeight="false" outlineLevel="0" collapsed="false">
      <c r="A16" s="20" t="s">
        <v>37</v>
      </c>
      <c r="B16" s="20" t="s">
        <v>73</v>
      </c>
      <c r="C16" s="21" t="s">
        <v>110</v>
      </c>
      <c r="D16" s="27" t="n">
        <f aca="false">Financials!D33</f>
        <v>14</v>
      </c>
      <c r="E16" s="27" t="n">
        <f aca="false">Financials!E33</f>
        <v>16</v>
      </c>
      <c r="F16" s="27" t="n">
        <f aca="false">Financials!F33</f>
        <v>19</v>
      </c>
      <c r="G16" s="27" t="n">
        <f aca="false">Financials!G33</f>
        <v>18</v>
      </c>
      <c r="H16" s="27" t="n">
        <f aca="false">Financials!H33</f>
        <v>23</v>
      </c>
      <c r="I16" s="27" t="n">
        <f aca="false">Financials!I33</f>
        <v>19</v>
      </c>
      <c r="J16" s="28" t="n">
        <f aca="false">AVERAGE(E16:I16)</f>
        <v>19</v>
      </c>
    </row>
    <row r="17" customFormat="false" ht="15" hidden="false" customHeight="false" outlineLevel="0" collapsed="false">
      <c r="A17" s="20" t="s">
        <v>37</v>
      </c>
      <c r="B17" s="20" t="s">
        <v>74</v>
      </c>
      <c r="C17" s="21" t="s">
        <v>110</v>
      </c>
      <c r="D17" s="27" t="n">
        <f aca="false">Financials!D34</f>
        <v>66</v>
      </c>
      <c r="E17" s="27" t="n">
        <f aca="false">Financials!E34</f>
        <v>65</v>
      </c>
      <c r="F17" s="27" t="n">
        <f aca="false">Financials!F34</f>
        <v>55</v>
      </c>
      <c r="G17" s="27" t="n">
        <f aca="false">Financials!G34</f>
        <v>55</v>
      </c>
      <c r="H17" s="27" t="n">
        <f aca="false">Financials!H34</f>
        <v>61</v>
      </c>
      <c r="I17" s="27" t="n">
        <f aca="false">Financials!I34</f>
        <v>61</v>
      </c>
      <c r="J17" s="28" t="n">
        <f aca="false">AVERAGE(E17:I17)</f>
        <v>59.4</v>
      </c>
    </row>
    <row r="18" customFormat="false" ht="15" hidden="false" customHeight="false" outlineLevel="0" collapsed="false">
      <c r="A18" s="20" t="s">
        <v>37</v>
      </c>
      <c r="B18" s="20" t="s">
        <v>111</v>
      </c>
      <c r="C18" s="21" t="s">
        <v>110</v>
      </c>
      <c r="D18" s="27" t="n">
        <f aca="false">Financials!D35</f>
        <v>163</v>
      </c>
      <c r="E18" s="27" t="n">
        <f aca="false">Financials!E35</f>
        <v>145</v>
      </c>
      <c r="F18" s="27" t="n">
        <f aca="false">Financials!F35</f>
        <v>123</v>
      </c>
      <c r="G18" s="27" t="n">
        <f aca="false">Financials!G35</f>
        <v>143</v>
      </c>
      <c r="H18" s="27" t="n">
        <f aca="false">Financials!H35</f>
        <v>156</v>
      </c>
      <c r="I18" s="27" t="n">
        <f aca="false">Financials!I35</f>
        <v>169</v>
      </c>
      <c r="J18" s="28" t="n">
        <f aca="false">AVERAGE(E18:I18)</f>
        <v>147.2</v>
      </c>
    </row>
    <row r="19" customFormat="false" ht="15" hidden="false" customHeight="false" outlineLevel="0" collapsed="false">
      <c r="A19" s="20" t="s">
        <v>37</v>
      </c>
      <c r="B19" s="20" t="s">
        <v>112</v>
      </c>
      <c r="C19" s="21" t="s">
        <v>113</v>
      </c>
      <c r="D19" s="29" t="n">
        <f aca="false">D16+D17-D18</f>
        <v>-83</v>
      </c>
      <c r="E19" s="29" t="n">
        <f aca="false">E16+E17-E18</f>
        <v>-64</v>
      </c>
      <c r="F19" s="29" t="n">
        <f aca="false">F16+F17-F18</f>
        <v>-49</v>
      </c>
      <c r="G19" s="29" t="n">
        <f aca="false">G16+G17-G18</f>
        <v>-70</v>
      </c>
      <c r="H19" s="29" t="n">
        <f aca="false">H16+H17-H18</f>
        <v>-72</v>
      </c>
      <c r="I19" s="29" t="n">
        <f aca="false">I16+I17-I18</f>
        <v>-89</v>
      </c>
      <c r="J19" s="28" t="n">
        <f aca="false">AVERAGE(E19:I19)</f>
        <v>-68.8</v>
      </c>
    </row>
    <row r="20" customFormat="false" ht="15" hidden="false" customHeight="false" outlineLevel="0" collapsed="false">
      <c r="A20" s="19" t="s">
        <v>37</v>
      </c>
      <c r="B20" s="11" t="s">
        <v>114</v>
      </c>
      <c r="C20" s="12"/>
      <c r="D20" s="12"/>
      <c r="E20" s="12"/>
      <c r="F20" s="12"/>
      <c r="G20" s="12"/>
      <c r="H20" s="12"/>
      <c r="I20" s="12"/>
      <c r="J20" s="12"/>
    </row>
    <row r="21" customFormat="false" ht="15" hidden="false" customHeight="false" outlineLevel="0" collapsed="false">
      <c r="A21" s="20" t="s">
        <v>37</v>
      </c>
      <c r="B21" s="20" t="s">
        <v>115</v>
      </c>
      <c r="C21" s="21" t="s">
        <v>116</v>
      </c>
      <c r="D21" s="25" t="n">
        <f aca="false">Financials!D19/Financials!D37</f>
        <v>0</v>
      </c>
      <c r="E21" s="25" t="n">
        <f aca="false">Financials!E19/Financials!E37</f>
        <v>0.0212592486904058</v>
      </c>
      <c r="F21" s="25" t="n">
        <f aca="false">Financials!F19/Financials!F37</f>
        <v>0.024232665394402</v>
      </c>
      <c r="G21" s="25" t="n">
        <f aca="false">Financials!G19/Financials!G37</f>
        <v>0.0289741887617634</v>
      </c>
      <c r="H21" s="25" t="n">
        <f aca="false">Financials!H19/Financials!H37</f>
        <v>0.0333589733209182</v>
      </c>
      <c r="I21" s="25" t="n">
        <f aca="false">Financials!I19/Financials!I37</f>
        <v>0.0303247912349453</v>
      </c>
      <c r="J21" s="26" t="n">
        <f aca="false">AVERAGE(E21:I21)</f>
        <v>0.027629973480487</v>
      </c>
    </row>
    <row r="22" customFormat="false" ht="15" hidden="false" customHeight="false" outlineLevel="0" collapsed="false">
      <c r="A22" s="20" t="s">
        <v>37</v>
      </c>
      <c r="B22" s="20" t="s">
        <v>117</v>
      </c>
      <c r="C22" s="21" t="s">
        <v>118</v>
      </c>
      <c r="D22" s="25" t="n">
        <f aca="false">IFERROR(Financials!D38/Financials!D10,0)</f>
        <v>91.6410256410256</v>
      </c>
      <c r="E22" s="25" t="n">
        <f aca="false">IFERROR(Financials!E38/Financials!E10,0)</f>
        <v>113.066037735849</v>
      </c>
      <c r="F22" s="25" t="n">
        <f aca="false">IFERROR(Financials!F38/Financials!F10,0)</f>
        <v>118.052631578947</v>
      </c>
      <c r="G22" s="25" t="n">
        <f aca="false">IFERROR(Financials!G38/Financials!G10,0)</f>
        <v>42.6946107784431</v>
      </c>
      <c r="H22" s="25" t="n">
        <f aca="false">IFERROR(Financials!H38/Financials!H10,0)</f>
        <v>38.8451443569554</v>
      </c>
      <c r="I22" s="25" t="n">
        <f aca="false">IFERROR(Financials!I38/Financials!I10,0)</f>
        <v>45.4365853658537</v>
      </c>
      <c r="J22" s="26" t="n">
        <f aca="false">AVERAGE(E22:I22)</f>
        <v>71.6190019632097</v>
      </c>
    </row>
    <row r="23" customFormat="false" ht="15" hidden="false" customHeight="false" outlineLevel="0" collapsed="false">
      <c r="A23" s="19" t="s">
        <v>37</v>
      </c>
      <c r="B23" s="11" t="s">
        <v>119</v>
      </c>
      <c r="C23" s="12"/>
      <c r="D23" s="12"/>
      <c r="E23" s="12"/>
      <c r="F23" s="12"/>
      <c r="G23" s="12"/>
      <c r="H23" s="12"/>
      <c r="I23" s="12"/>
      <c r="J23" s="12"/>
    </row>
    <row r="24" customFormat="false" ht="15" hidden="false" customHeight="false" outlineLevel="0" collapsed="false">
      <c r="A24" s="20" t="s">
        <v>37</v>
      </c>
      <c r="B24" s="20" t="s">
        <v>120</v>
      </c>
      <c r="C24" s="21" t="s">
        <v>121</v>
      </c>
      <c r="D24" s="25" t="n">
        <f aca="false">Financials!D28/Financials!D13</f>
        <v>1.14551818977372</v>
      </c>
      <c r="E24" s="25" t="n">
        <f aca="false">Financials!E28/Financials!E13</f>
        <v>1.01754385964912</v>
      </c>
      <c r="F24" s="25" t="n">
        <f aca="false">Financials!F28/Financials!F13</f>
        <v>0.985014295573302</v>
      </c>
      <c r="G24" s="25" t="n">
        <f aca="false">Financials!G28/Financials!G13</f>
        <v>1.50447383777475</v>
      </c>
      <c r="H24" s="25" t="n">
        <f aca="false">Financials!H28/Financials!H13</f>
        <v>1.11385999437728</v>
      </c>
      <c r="I24" s="25" t="n">
        <f aca="false">Financials!I28/Financials!I13</f>
        <v>0.730393784447839</v>
      </c>
      <c r="J24" s="26" t="n">
        <f aca="false">AVERAGE(E24:I24)</f>
        <v>1.07025715436446</v>
      </c>
    </row>
    <row r="25" customFormat="false" ht="15" hidden="false" customHeight="false" outlineLevel="0" collapsed="false">
      <c r="A25" s="20" t="s">
        <v>37</v>
      </c>
      <c r="B25" s="20" t="s">
        <v>122</v>
      </c>
      <c r="C25" s="21" t="s">
        <v>123</v>
      </c>
      <c r="D25" s="23" t="n">
        <f aca="false">Financials!D31/Financials!D6</f>
        <v>0.108382240367441</v>
      </c>
      <c r="E25" s="23" t="n">
        <f aca="false">Financials!E31/Financials!E6</f>
        <v>0.152442512298364</v>
      </c>
      <c r="F25" s="23" t="n">
        <f aca="false">Financials!F31/Financials!F6</f>
        <v>0.148233740508419</v>
      </c>
      <c r="G25" s="23" t="n">
        <f aca="false">Financials!G31/Financials!G6</f>
        <v>0.22637973374693</v>
      </c>
      <c r="H25" s="23" t="n">
        <f aca="false">Financials!H31/Financials!H6</f>
        <v>0.173232454996087</v>
      </c>
      <c r="I25" s="23" t="n">
        <f aca="false">Financials!I31/Financials!I6</f>
        <v>0.149950362970776</v>
      </c>
      <c r="J25" s="24" t="n">
        <f aca="false">AVERAGE(E25:I25)</f>
        <v>0.170047760904115</v>
      </c>
    </row>
    <row r="26" customFormat="false" ht="15" hidden="false" customHeight="false" outlineLevel="0" collapsed="false">
      <c r="A26" s="20" t="s">
        <v>37</v>
      </c>
      <c r="B26" s="20" t="s">
        <v>124</v>
      </c>
      <c r="C26" s="21" t="s">
        <v>110</v>
      </c>
      <c r="D26" s="30" t="n">
        <f aca="false">Financials!D15</f>
        <v>1.19</v>
      </c>
      <c r="E26" s="30" t="n">
        <f aca="false">Financials!E15</f>
        <v>0.9</v>
      </c>
      <c r="F26" s="30" t="n">
        <f aca="false">Financials!F15</f>
        <v>0.91</v>
      </c>
      <c r="G26" s="30" t="n">
        <f aca="false">Financials!G15</f>
        <v>0.96</v>
      </c>
      <c r="H26" s="30" t="n">
        <f aca="false">Financials!H15</f>
        <v>1.17</v>
      </c>
      <c r="I26" s="30" t="n">
        <f aca="false">Financials!I15</f>
        <v>0.64</v>
      </c>
      <c r="J26" s="24" t="n">
        <f aca="false">AVERAGE(E26:I26)</f>
        <v>0.916</v>
      </c>
    </row>
    <row r="27" customFormat="false" ht="15" hidden="false" customHeight="false" outlineLevel="0" collapsed="false">
      <c r="A27" s="19" t="s">
        <v>37</v>
      </c>
      <c r="B27" s="11" t="s">
        <v>125</v>
      </c>
      <c r="C27" s="12"/>
      <c r="D27" s="12"/>
      <c r="E27" s="12"/>
      <c r="F27" s="12"/>
      <c r="G27" s="12"/>
      <c r="H27" s="12"/>
      <c r="I27" s="12"/>
      <c r="J27" s="12"/>
    </row>
    <row r="28" customFormat="false" ht="15" hidden="false" customHeight="false" outlineLevel="0" collapsed="false">
      <c r="A28" s="20" t="s">
        <v>37</v>
      </c>
      <c r="B28" s="20" t="s">
        <v>99</v>
      </c>
      <c r="C28" s="21" t="s">
        <v>100</v>
      </c>
      <c r="D28" s="23" t="n">
        <f aca="false">Financials!D13/Financials!D6</f>
        <v>0.17009015905418</v>
      </c>
      <c r="E28" s="23" t="n">
        <f aca="false">Financials!E13/Financials!E6</f>
        <v>0.169545818556229</v>
      </c>
      <c r="F28" s="23" t="n">
        <f aca="false">Financials!F13/Financials!F6</f>
        <v>0.167431495543084</v>
      </c>
      <c r="G28" s="23" t="n">
        <f aca="false">Financials!G13/Financials!G6</f>
        <v>0.166117358149153</v>
      </c>
      <c r="H28" s="23" t="n">
        <f aca="false">Financials!H13/Financials!H6</f>
        <v>0.173998825984868</v>
      </c>
      <c r="I28" s="23" t="n">
        <f aca="false">Financials!I13/Financials!I6</f>
        <v>0.233588757212881</v>
      </c>
      <c r="J28" s="24" t="n">
        <f aca="false">AVERAGE(E28:I28)</f>
        <v>0.182136451089243</v>
      </c>
    </row>
    <row r="29" customFormat="false" ht="15" hidden="false" customHeight="false" outlineLevel="0" collapsed="false">
      <c r="A29" s="20" t="s">
        <v>37</v>
      </c>
      <c r="B29" s="20" t="s">
        <v>126</v>
      </c>
      <c r="C29" s="21" t="s">
        <v>109</v>
      </c>
      <c r="D29" s="22" t="s">
        <v>93</v>
      </c>
      <c r="E29" s="25" t="n">
        <f aca="false">Financials!E6/((Financials!E26+Financials!D26)/2)</f>
        <v>0.753285552188214</v>
      </c>
      <c r="F29" s="25" t="n">
        <f aca="false">Financials!F6/((Financials!F26+Financials!E26)/2)</f>
        <v>0.843832487132878</v>
      </c>
      <c r="G29" s="25" t="n">
        <f aca="false">Financials!G6/((Financials!G26+Financials!F26)/2)</f>
        <v>0.816753097660425</v>
      </c>
      <c r="H29" s="25" t="n">
        <f aca="false">Financials!H6/((Financials!H26+Financials!G26)/2)</f>
        <v>0.774578154996464</v>
      </c>
      <c r="I29" s="25" t="n">
        <f aca="false">Financials!I6/((Financials!I26+Financials!H26)/2)</f>
        <v>0.807864612377115</v>
      </c>
      <c r="J29" s="26" t="n">
        <f aca="false">AVERAGE(E29:I29)</f>
        <v>0.799262780871019</v>
      </c>
    </row>
    <row r="30" customFormat="false" ht="15" hidden="false" customHeight="false" outlineLevel="0" collapsed="false">
      <c r="A30" s="20" t="s">
        <v>37</v>
      </c>
      <c r="B30" s="20" t="s">
        <v>127</v>
      </c>
      <c r="C30" s="21" t="s">
        <v>128</v>
      </c>
      <c r="D30" s="22" t="s">
        <v>93</v>
      </c>
      <c r="E30" s="25" t="n">
        <f aca="false">((Financials!E26+Financials!D26)/2)/((Financials!E37+Financials!D37)/2)</f>
        <v>1.43945831395048</v>
      </c>
      <c r="F30" s="25" t="n">
        <f aca="false">((Financials!F26+Financials!E26)/2)/((Financials!F37+Financials!E37)/2)</f>
        <v>1.44500578674584</v>
      </c>
      <c r="G30" s="25" t="n">
        <f aca="false">((Financials!G26+Financials!F26)/2)/((Financials!G37+Financials!F37)/2)</f>
        <v>1.49293749138118</v>
      </c>
      <c r="H30" s="25" t="n">
        <f aca="false">((Financials!H26+Financials!G26)/2)/((Financials!H37+Financials!G37)/2)</f>
        <v>1.57376267143709</v>
      </c>
      <c r="I30" s="25" t="n">
        <f aca="false">((Financials!I26+Financials!H26)/2)/((Financials!I37+Financials!H37)/2)</f>
        <v>1.62624183572615</v>
      </c>
      <c r="J30" s="26" t="n">
        <f aca="false">AVERAGE(E30:I30)</f>
        <v>1.51548121984815</v>
      </c>
    </row>
    <row r="31" customFormat="false" ht="15" hidden="false" customHeight="false" outlineLevel="0" collapsed="false">
      <c r="A31" s="20" t="s">
        <v>37</v>
      </c>
      <c r="B31" s="20" t="s">
        <v>129</v>
      </c>
      <c r="C31" s="21" t="s">
        <v>130</v>
      </c>
      <c r="D31" s="22" t="s">
        <v>93</v>
      </c>
      <c r="E31" s="23" t="n">
        <f aca="false">E28*E29*E30</f>
        <v>0.183842456194759</v>
      </c>
      <c r="F31" s="23" t="n">
        <f aca="false">F28*F29*F30</f>
        <v>0.204156393096161</v>
      </c>
      <c r="G31" s="23" t="n">
        <f aca="false">G28*G29*G30</f>
        <v>0.202557081223774</v>
      </c>
      <c r="H31" s="23" t="n">
        <f aca="false">H28*H29*H30</f>
        <v>0.212104949314252</v>
      </c>
      <c r="I31" s="23" t="n">
        <f aca="false">I28*I29*I30</f>
        <v>0.306884992001304</v>
      </c>
      <c r="J31" s="24" t="n">
        <f aca="false">AVERAGE(E31:I31)</f>
        <v>0.22190917436605</v>
      </c>
    </row>
    <row r="33" customFormat="false" ht="15" hidden="false" customHeight="false" outlineLevel="0" collapsed="false">
      <c r="A33" s="8" t="s">
        <v>81</v>
      </c>
      <c r="B33" s="8" t="s">
        <v>87</v>
      </c>
      <c r="C33" s="8" t="s">
        <v>88</v>
      </c>
      <c r="D33" s="9" t="s">
        <v>39</v>
      </c>
      <c r="E33" s="9" t="s">
        <v>40</v>
      </c>
      <c r="F33" s="9" t="s">
        <v>41</v>
      </c>
      <c r="G33" s="9" t="s">
        <v>42</v>
      </c>
      <c r="H33" s="9" t="s">
        <v>43</v>
      </c>
      <c r="I33" s="9" t="s">
        <v>44</v>
      </c>
      <c r="J33" s="9" t="s">
        <v>89</v>
      </c>
    </row>
    <row r="34" customFormat="false" ht="15" hidden="false" customHeight="false" outlineLevel="0" collapsed="false">
      <c r="A34" s="19" t="s">
        <v>81</v>
      </c>
      <c r="B34" s="11" t="s">
        <v>90</v>
      </c>
      <c r="C34" s="12"/>
      <c r="D34" s="12"/>
      <c r="E34" s="12"/>
      <c r="F34" s="12"/>
      <c r="G34" s="12"/>
      <c r="H34" s="12"/>
      <c r="I34" s="12"/>
      <c r="J34" s="12"/>
    </row>
    <row r="35" customFormat="false" ht="15" hidden="false" customHeight="false" outlineLevel="0" collapsed="false">
      <c r="A35" s="20" t="s">
        <v>81</v>
      </c>
      <c r="B35" s="20" t="s">
        <v>91</v>
      </c>
      <c r="C35" s="21" t="s">
        <v>92</v>
      </c>
      <c r="D35" s="22" t="s">
        <v>93</v>
      </c>
      <c r="E35" s="23" t="n">
        <f aca="false">Financials!E44/Financials!D44-1</f>
        <v>0.231195566112431</v>
      </c>
      <c r="F35" s="23" t="n">
        <f aca="false">Financials!F44/Financials!E44-1</f>
        <v>0.169412152691895</v>
      </c>
      <c r="G35" s="23" t="n">
        <f aca="false">Financials!G44/Financials!F44-1</f>
        <v>-0.0421184731877212</v>
      </c>
      <c r="H35" s="23" t="n">
        <f aca="false">Financials!H44/Financials!G44-1</f>
        <v>0.108799976447035</v>
      </c>
      <c r="I35" s="23" t="n">
        <f aca="false">Financials!I44/Financials!H44-1</f>
        <v>0.047063977802265</v>
      </c>
      <c r="J35" s="24" t="n">
        <f aca="false">AVERAGE(E35:I35)</f>
        <v>0.102870639973181</v>
      </c>
    </row>
    <row r="36" customFormat="false" ht="15" hidden="false" customHeight="false" outlineLevel="0" collapsed="false">
      <c r="A36" s="20" t="s">
        <v>81</v>
      </c>
      <c r="B36" s="20" t="s">
        <v>94</v>
      </c>
      <c r="C36" s="21" t="s">
        <v>95</v>
      </c>
      <c r="D36" s="22" t="s">
        <v>93</v>
      </c>
      <c r="E36" s="23" t="n">
        <f aca="false">Financials!E51/Financials!D51-1</f>
        <v>0.158409923036688</v>
      </c>
      <c r="F36" s="23" t="n">
        <f aca="false">Financials!F51/Financials!E51-1</f>
        <v>0.256337483067793</v>
      </c>
      <c r="G36" s="23" t="n">
        <f aca="false">Financials!G51/Financials!F51-1</f>
        <v>0.065410484160805</v>
      </c>
      <c r="H36" s="23" t="n">
        <f aca="false">Financials!H51/Financials!G51-1</f>
        <v>0.689171606187654</v>
      </c>
      <c r="I36" s="23" t="n">
        <f aca="false">Financials!I51/Financials!H51-1</f>
        <v>-0.400376583361862</v>
      </c>
      <c r="J36" s="24" t="n">
        <f aca="false">AVERAGE(E36:I36)</f>
        <v>0.153790582618216</v>
      </c>
    </row>
    <row r="37" customFormat="false" ht="15" hidden="false" customHeight="false" outlineLevel="0" collapsed="false">
      <c r="A37" s="19" t="s">
        <v>81</v>
      </c>
      <c r="B37" s="11" t="s">
        <v>96</v>
      </c>
      <c r="C37" s="12"/>
      <c r="D37" s="12"/>
      <c r="E37" s="12"/>
      <c r="F37" s="12"/>
      <c r="G37" s="12"/>
      <c r="H37" s="12"/>
      <c r="I37" s="12"/>
      <c r="J37" s="12"/>
    </row>
    <row r="38" customFormat="false" ht="15" hidden="false" customHeight="false" outlineLevel="0" collapsed="false">
      <c r="A38" s="20" t="s">
        <v>81</v>
      </c>
      <c r="B38" s="20" t="s">
        <v>97</v>
      </c>
      <c r="C38" s="21" t="s">
        <v>98</v>
      </c>
      <c r="D38" s="23" t="n">
        <f aca="false">Financials!D46/Financials!D44</f>
        <v>0.346448220557484</v>
      </c>
      <c r="E38" s="23" t="n">
        <f aca="false">Financials!E46/Financials!E44</f>
        <v>0.340061010800561</v>
      </c>
      <c r="F38" s="23" t="n">
        <f aca="false">Financials!F46/Financials!F44</f>
        <v>0.362441658793835</v>
      </c>
      <c r="G38" s="23" t="n">
        <f aca="false">Financials!G46/Financials!G44</f>
        <v>0.370782547253136</v>
      </c>
      <c r="H38" s="23" t="n">
        <f aca="false">Financials!H46/Financials!H44</f>
        <v>0.342949696639805</v>
      </c>
      <c r="I38" s="23" t="n">
        <f aca="false">Financials!I46/Financials!I44</f>
        <v>0.346224070598976</v>
      </c>
      <c r="J38" s="24" t="n">
        <f aca="false">AVERAGE(E38:I38)</f>
        <v>0.352491796817262</v>
      </c>
    </row>
    <row r="39" customFormat="false" ht="15" hidden="false" customHeight="false" outlineLevel="0" collapsed="false">
      <c r="A39" s="20" t="s">
        <v>81</v>
      </c>
      <c r="B39" s="20" t="s">
        <v>99</v>
      </c>
      <c r="C39" s="21" t="s">
        <v>100</v>
      </c>
      <c r="D39" s="23" t="n">
        <f aca="false">Financials!D51/Financials!D44</f>
        <v>0.271697423716426</v>
      </c>
      <c r="E39" s="23" t="n">
        <f aca="false">Financials!E51/Financials!E44</f>
        <v>0.255635254349081</v>
      </c>
      <c r="F39" s="23" t="n">
        <f aca="false">Financials!F51/Financials!F44</f>
        <v>0.27463726222874</v>
      </c>
      <c r="G39" s="23" t="n">
        <f aca="false">Financials!G51/Financials!G44</f>
        <v>0.30546723193782</v>
      </c>
      <c r="H39" s="23" t="n">
        <f aca="false">Financials!H51/Financials!H44</f>
        <v>0.46535586739774</v>
      </c>
      <c r="I39" s="23" t="n">
        <f aca="false">Financials!I51/Financials!I44</f>
        <v>0.266495917228787</v>
      </c>
      <c r="J39" s="24" t="n">
        <f aca="false">AVERAGE(E39:I39)</f>
        <v>0.313518306628434</v>
      </c>
    </row>
    <row r="40" customFormat="false" ht="15" hidden="false" customHeight="false" outlineLevel="0" collapsed="false">
      <c r="A40" s="20" t="s">
        <v>81</v>
      </c>
      <c r="B40" s="20" t="s">
        <v>101</v>
      </c>
      <c r="C40" s="21" t="s">
        <v>102</v>
      </c>
      <c r="D40" s="22" t="s">
        <v>93</v>
      </c>
      <c r="E40" s="23" t="n">
        <f aca="false">Financials!E51/((Financials!E75+Financials!D75)/2)</f>
        <v>0.252487744499275</v>
      </c>
      <c r="F40" s="23" t="n">
        <f aca="false">Financials!F51/((Financials!F75+Financials!E75)/2)</f>
        <v>0.295980548590533</v>
      </c>
      <c r="G40" s="23" t="n">
        <f aca="false">Financials!G51/((Financials!G75+Financials!F75)/2)</f>
        <v>0.28888641394384</v>
      </c>
      <c r="H40" s="23" t="n">
        <f aca="false">Financials!H51/((Financials!H75+Financials!G75)/2)</f>
        <v>0.485024595778244</v>
      </c>
      <c r="I40" s="23" t="n">
        <f aca="false">Financials!I51/((Financials!I75+Financials!H75)/2)</f>
        <v>0.294912899808471</v>
      </c>
      <c r="J40" s="24" t="n">
        <f aca="false">AVERAGE(E40:I40)</f>
        <v>0.323458440524073</v>
      </c>
    </row>
    <row r="41" customFormat="false" ht="15" hidden="false" customHeight="false" outlineLevel="0" collapsed="false">
      <c r="A41" s="20" t="s">
        <v>81</v>
      </c>
      <c r="B41" s="20" t="s">
        <v>103</v>
      </c>
      <c r="C41" s="21" t="s">
        <v>104</v>
      </c>
      <c r="D41" s="22" t="s">
        <v>93</v>
      </c>
      <c r="E41" s="23" t="n">
        <f aca="false">Financials!E76/((Financials!E77+Financials!D77)/2)</f>
        <v>0.337328295032517</v>
      </c>
      <c r="F41" s="23" t="n">
        <f aca="false">Financials!F76/((Financials!F77+Financials!E77)/2)</f>
        <v>0.393341656263005</v>
      </c>
      <c r="G41" s="23" t="n">
        <f aca="false">Financials!G76/((Financials!G77+Financials!F77)/2)</f>
        <v>0.374295596481621</v>
      </c>
      <c r="H41" s="23" t="n">
        <f aca="false">Financials!H76/((Financials!H77+Financials!G77)/2)</f>
        <v>0.578645994832041</v>
      </c>
      <c r="I41" s="23" t="n">
        <f aca="false">Financials!I76/((Financials!I77+Financials!H77)/2)</f>
        <v>0.387244269079541</v>
      </c>
      <c r="J41" s="24" t="n">
        <f aca="false">AVERAGE(E41:I41)</f>
        <v>0.414171162337745</v>
      </c>
    </row>
    <row r="42" customFormat="false" ht="15" hidden="false" customHeight="false" outlineLevel="0" collapsed="false">
      <c r="A42" s="20" t="s">
        <v>81</v>
      </c>
      <c r="B42" s="20" t="s">
        <v>105</v>
      </c>
      <c r="C42" s="21" t="s">
        <v>106</v>
      </c>
      <c r="D42" s="22" t="s">
        <v>93</v>
      </c>
      <c r="E42" s="23" t="n">
        <f aca="false">Financials!E51/((Financials!E64+Financials!D64)/2)</f>
        <v>0.20539623866399</v>
      </c>
      <c r="F42" s="23" t="n">
        <f aca="false">Financials!F51/((Financials!F64+Financials!E64)/2)</f>
        <v>0.238942015739724</v>
      </c>
      <c r="G42" s="23" t="n">
        <f aca="false">Financials!G51/((Financials!G64+Financials!F64)/2)</f>
        <v>0.233703486800613</v>
      </c>
      <c r="H42" s="23" t="n">
        <f aca="false">Financials!H51/((Financials!H64+Financials!G64)/2)</f>
        <v>0.389993157429196</v>
      </c>
      <c r="I42" s="23" t="n">
        <f aca="false">Financials!I51/((Financials!I64+Financials!H64)/2)</f>
        <v>0.231424796300374</v>
      </c>
      <c r="J42" s="24" t="n">
        <f aca="false">AVERAGE(E42:I42)</f>
        <v>0.25989193898678</v>
      </c>
    </row>
    <row r="43" customFormat="false" ht="15" hidden="false" customHeight="false" outlineLevel="0" collapsed="false">
      <c r="A43" s="19" t="s">
        <v>81</v>
      </c>
      <c r="B43" s="11" t="s">
        <v>107</v>
      </c>
      <c r="C43" s="12"/>
      <c r="D43" s="12"/>
      <c r="E43" s="12"/>
      <c r="F43" s="12"/>
      <c r="G43" s="12"/>
      <c r="H43" s="12"/>
      <c r="I43" s="12"/>
      <c r="J43" s="12"/>
    </row>
    <row r="44" customFormat="false" ht="15" hidden="false" customHeight="false" outlineLevel="0" collapsed="false">
      <c r="A44" s="20" t="s">
        <v>81</v>
      </c>
      <c r="B44" s="20" t="s">
        <v>108</v>
      </c>
      <c r="C44" s="21" t="s">
        <v>109</v>
      </c>
      <c r="D44" s="22" t="s">
        <v>93</v>
      </c>
      <c r="E44" s="25" t="n">
        <f aca="false">Financials!E44/((Financials!E64+Financials!D64)/2)</f>
        <v>0.803473836920448</v>
      </c>
      <c r="F44" s="25" t="n">
        <f aca="false">Financials!F44/((Financials!F64+Financials!E64)/2)</f>
        <v>0.870027664129255</v>
      </c>
      <c r="G44" s="25" t="n">
        <f aca="false">Financials!G44/((Financials!G64+Financials!F64)/2)</f>
        <v>0.76506892512839</v>
      </c>
      <c r="H44" s="25" t="n">
        <f aca="false">Financials!H44/((Financials!H64+Financials!G64)/2)</f>
        <v>0.838053594574898</v>
      </c>
      <c r="I44" s="25" t="n">
        <f aca="false">Financials!I44/((Financials!I64+Financials!H64)/2)</f>
        <v>0.868399031050429</v>
      </c>
      <c r="J44" s="26" t="n">
        <f aca="false">AVERAGE(E44:I44)</f>
        <v>0.829004610360684</v>
      </c>
    </row>
    <row r="45" customFormat="false" ht="15" hidden="false" customHeight="false" outlineLevel="0" collapsed="false">
      <c r="A45" s="20" t="s">
        <v>81</v>
      </c>
      <c r="B45" s="20" t="s">
        <v>73</v>
      </c>
      <c r="C45" s="21" t="s">
        <v>110</v>
      </c>
      <c r="D45" s="27" t="n">
        <f aca="false">Financials!D71</f>
        <v>19</v>
      </c>
      <c r="E45" s="27" t="n">
        <f aca="false">Financials!E71</f>
        <v>15</v>
      </c>
      <c r="F45" s="27" t="n">
        <f aca="false">Financials!F71</f>
        <v>15</v>
      </c>
      <c r="G45" s="27" t="n">
        <f aca="false">Financials!G71</f>
        <v>22</v>
      </c>
      <c r="H45" s="27" t="n">
        <f aca="false">Financials!H71</f>
        <v>23</v>
      </c>
      <c r="I45" s="27" t="n">
        <f aca="false">Financials!I71</f>
        <v>18</v>
      </c>
      <c r="J45" s="28" t="n">
        <f aca="false">AVERAGE(E45:I45)</f>
        <v>18.6</v>
      </c>
    </row>
    <row r="46" customFormat="false" ht="15" hidden="false" customHeight="false" outlineLevel="0" collapsed="false">
      <c r="A46" s="20" t="s">
        <v>81</v>
      </c>
      <c r="B46" s="20" t="s">
        <v>74</v>
      </c>
      <c r="C46" s="21" t="s">
        <v>110</v>
      </c>
      <c r="D46" s="27" t="n">
        <f aca="false">Financials!D72</f>
        <v>189</v>
      </c>
      <c r="E46" s="27" t="n">
        <f aca="false">Financials!E72</f>
        <v>150</v>
      </c>
      <c r="F46" s="27" t="n">
        <f aca="false">Financials!F72</f>
        <v>148</v>
      </c>
      <c r="G46" s="27" t="n">
        <f aca="false">Financials!G72</f>
        <v>191</v>
      </c>
      <c r="H46" s="27" t="n">
        <f aca="false">Financials!H72</f>
        <v>178</v>
      </c>
      <c r="I46" s="27" t="n">
        <f aca="false">Financials!I72</f>
        <v>209</v>
      </c>
      <c r="J46" s="28" t="n">
        <f aca="false">AVERAGE(E46:I46)</f>
        <v>175.2</v>
      </c>
    </row>
    <row r="47" customFormat="false" ht="15" hidden="false" customHeight="false" outlineLevel="0" collapsed="false">
      <c r="A47" s="20" t="s">
        <v>81</v>
      </c>
      <c r="B47" s="20" t="s">
        <v>111</v>
      </c>
      <c r="C47" s="21" t="s">
        <v>110</v>
      </c>
      <c r="D47" s="27" t="n">
        <f aca="false">Financials!D73</f>
        <v>78</v>
      </c>
      <c r="E47" s="27" t="n">
        <f aca="false">Financials!E73</f>
        <v>61</v>
      </c>
      <c r="F47" s="27" t="n">
        <f aca="false">Financials!F73</f>
        <v>59</v>
      </c>
      <c r="G47" s="27" t="n">
        <f aca="false">Financials!G73</f>
        <v>65</v>
      </c>
      <c r="H47" s="27" t="n">
        <f aca="false">Financials!H73</f>
        <v>55</v>
      </c>
      <c r="I47" s="27" t="n">
        <f aca="false">Financials!I73</f>
        <v>63</v>
      </c>
      <c r="J47" s="28" t="n">
        <f aca="false">AVERAGE(E47:I47)</f>
        <v>60.6</v>
      </c>
    </row>
    <row r="48" customFormat="false" ht="15" hidden="false" customHeight="false" outlineLevel="0" collapsed="false">
      <c r="A48" s="20" t="s">
        <v>81</v>
      </c>
      <c r="B48" s="20" t="s">
        <v>112</v>
      </c>
      <c r="C48" s="21" t="s">
        <v>113</v>
      </c>
      <c r="D48" s="29" t="n">
        <f aca="false">D45+D46-D47</f>
        <v>130</v>
      </c>
      <c r="E48" s="29" t="n">
        <f aca="false">E45+E46-E47</f>
        <v>104</v>
      </c>
      <c r="F48" s="29" t="n">
        <f aca="false">F45+F46-F47</f>
        <v>104</v>
      </c>
      <c r="G48" s="29" t="n">
        <f aca="false">G45+G46-G47</f>
        <v>148</v>
      </c>
      <c r="H48" s="29" t="n">
        <f aca="false">H45+H46-H47</f>
        <v>146</v>
      </c>
      <c r="I48" s="29" t="n">
        <f aca="false">I45+I46-I47</f>
        <v>164</v>
      </c>
      <c r="J48" s="28" t="n">
        <f aca="false">AVERAGE(E48:I48)</f>
        <v>133.2</v>
      </c>
    </row>
    <row r="49" customFormat="false" ht="15" hidden="false" customHeight="false" outlineLevel="0" collapsed="false">
      <c r="A49" s="19" t="s">
        <v>81</v>
      </c>
      <c r="B49" s="11" t="s">
        <v>114</v>
      </c>
      <c r="C49" s="12"/>
      <c r="D49" s="12"/>
      <c r="E49" s="12"/>
      <c r="F49" s="12"/>
      <c r="G49" s="12"/>
      <c r="H49" s="12"/>
      <c r="I49" s="12"/>
      <c r="J49" s="12"/>
    </row>
    <row r="50" customFormat="false" ht="15" hidden="false" customHeight="false" outlineLevel="0" collapsed="false">
      <c r="A50" s="20" t="s">
        <v>81</v>
      </c>
      <c r="B50" s="20" t="s">
        <v>115</v>
      </c>
      <c r="C50" s="21" t="s">
        <v>116</v>
      </c>
      <c r="D50" s="25" t="n">
        <f aca="false">Financials!D57/Financials!D75</f>
        <v>0.00449069547781994</v>
      </c>
      <c r="E50" s="25" t="n">
        <f aca="false">Financials!E57/Financials!E75</f>
        <v>0.00398687054679369</v>
      </c>
      <c r="F50" s="25" t="n">
        <f aca="false">Financials!F57/Financials!F75</f>
        <v>0.00442484274455932</v>
      </c>
      <c r="G50" s="25" t="n">
        <f aca="false">Financials!G57/Financials!G75</f>
        <v>0.00406673198491417</v>
      </c>
      <c r="H50" s="25" t="n">
        <f aca="false">Financials!H57/Financials!H75</f>
        <v>0.00406968442096245</v>
      </c>
      <c r="I50" s="25" t="n">
        <f aca="false">Financials!I57/Financials!I75</f>
        <v>0.0330864606175955</v>
      </c>
      <c r="J50" s="26" t="n">
        <f aca="false">AVERAGE(E50:I50)</f>
        <v>0.00992691806296503</v>
      </c>
    </row>
    <row r="51" customFormat="false" ht="15" hidden="false" customHeight="false" outlineLevel="0" collapsed="false">
      <c r="A51" s="20" t="s">
        <v>81</v>
      </c>
      <c r="B51" s="20" t="s">
        <v>117</v>
      </c>
      <c r="C51" s="21" t="s">
        <v>118</v>
      </c>
      <c r="D51" s="25" t="n">
        <f aca="false">IFERROR(Financials!D76/Financials!D48,0)</f>
        <v>310.275862068966</v>
      </c>
      <c r="E51" s="25" t="n">
        <f aca="false">IFERROR(Financials!E76/Financials!E48,0)</f>
        <v>346.666666666667</v>
      </c>
      <c r="F51" s="25" t="n">
        <f aca="false">IFERROR(Financials!F76/Financials!F48,0)</f>
        <v>333.24358974359</v>
      </c>
      <c r="G51" s="25" t="n">
        <f aca="false">IFERROR(Financials!G76/Financials!G48,0)</f>
        <v>692.307692307692</v>
      </c>
      <c r="H51" s="25" t="n">
        <f aca="false">IFERROR(Financials!H76/Financials!H48,0)</f>
        <v>933.066666666667</v>
      </c>
      <c r="I51" s="25" t="n">
        <f aca="false">IFERROR(Financials!I76/Financials!I48,0)</f>
        <v>330.8</v>
      </c>
      <c r="J51" s="26" t="n">
        <f aca="false">AVERAGE(E51:I51)</f>
        <v>527.216923076923</v>
      </c>
    </row>
    <row r="52" customFormat="false" ht="15" hidden="false" customHeight="false" outlineLevel="0" collapsed="false">
      <c r="A52" s="19" t="s">
        <v>81</v>
      </c>
      <c r="B52" s="11" t="s">
        <v>119</v>
      </c>
      <c r="C52" s="12"/>
      <c r="D52" s="12"/>
      <c r="E52" s="12"/>
      <c r="F52" s="12"/>
      <c r="G52" s="12"/>
      <c r="H52" s="12"/>
      <c r="I52" s="12"/>
      <c r="J52" s="12"/>
    </row>
    <row r="53" customFormat="false" ht="15" hidden="false" customHeight="false" outlineLevel="0" collapsed="false">
      <c r="A53" s="20" t="s">
        <v>81</v>
      </c>
      <c r="B53" s="20" t="s">
        <v>120</v>
      </c>
      <c r="C53" s="21" t="s">
        <v>121</v>
      </c>
      <c r="D53" s="25" t="n">
        <f aca="false">Financials!D66/Financials!D51</f>
        <v>0.936038257490847</v>
      </c>
      <c r="E53" s="25" t="n">
        <f aca="false">Financials!E66/Financials!E51</f>
        <v>1.01760949493646</v>
      </c>
      <c r="F53" s="25" t="n">
        <f aca="false">Financials!F66/Financials!F51</f>
        <v>0.969245777070391</v>
      </c>
      <c r="G53" s="25" t="n">
        <f aca="false">Financials!G66/Financials!G51</f>
        <v>0.827863717411209</v>
      </c>
      <c r="H53" s="25" t="n">
        <f aca="false">Financials!H66/Financials!H51</f>
        <v>0.502881433299099</v>
      </c>
      <c r="I53" s="25" t="n">
        <f aca="false">Financials!I66/Financials!I51</f>
        <v>0.878485108002664</v>
      </c>
      <c r="J53" s="26" t="n">
        <f aca="false">AVERAGE(E53:I53)</f>
        <v>0.839217106143965</v>
      </c>
    </row>
    <row r="54" customFormat="false" ht="15" hidden="false" customHeight="false" outlineLevel="0" collapsed="false">
      <c r="A54" s="20" t="s">
        <v>81</v>
      </c>
      <c r="B54" s="20" t="s">
        <v>122</v>
      </c>
      <c r="C54" s="21" t="s">
        <v>123</v>
      </c>
      <c r="D54" s="23" t="n">
        <f aca="false">Financials!D69/Financials!D44</f>
        <v>0.217085896420813</v>
      </c>
      <c r="E54" s="23" t="n">
        <f aca="false">Financials!E69/Financials!E44</f>
        <v>0.227009646302251</v>
      </c>
      <c r="F54" s="23" t="n">
        <f aca="false">Financials!F69/Financials!F44</f>
        <v>0.228204007388711</v>
      </c>
      <c r="G54" s="23" t="n">
        <f aca="false">Financials!G69/Financials!G44</f>
        <v>0.202025554966731</v>
      </c>
      <c r="H54" s="23" t="n">
        <f aca="false">Financials!H69/Financials!H44</f>
        <v>0.206099066686138</v>
      </c>
      <c r="I54" s="23" t="n">
        <f aca="false">Financials!I69/Financials!I44</f>
        <v>0.207080184612264</v>
      </c>
      <c r="J54" s="24" t="n">
        <f aca="false">AVERAGE(E54:I54)</f>
        <v>0.214083691991219</v>
      </c>
    </row>
    <row r="55" customFormat="false" ht="15" hidden="false" customHeight="false" outlineLevel="0" collapsed="false">
      <c r="A55" s="20" t="s">
        <v>81</v>
      </c>
      <c r="B55" s="20" t="s">
        <v>124</v>
      </c>
      <c r="C55" s="21" t="s">
        <v>110</v>
      </c>
      <c r="D55" s="30" t="n">
        <f aca="false">Financials!D53</f>
        <v>1.01</v>
      </c>
      <c r="E55" s="30" t="n">
        <f aca="false">Financials!E53</f>
        <v>0.93</v>
      </c>
      <c r="F55" s="30" t="n">
        <f aca="false">Financials!F53</f>
        <v>1</v>
      </c>
      <c r="G55" s="30" t="n">
        <f aca="false">Financials!G53</f>
        <v>0.84</v>
      </c>
      <c r="H55" s="30" t="n">
        <f aca="false">Financials!H53</f>
        <v>0.52</v>
      </c>
      <c r="I55" s="30" t="n">
        <f aca="false">Financials!I53</f>
        <v>0.88</v>
      </c>
      <c r="J55" s="24" t="n">
        <f aca="false">AVERAGE(E55:I55)</f>
        <v>0.834</v>
      </c>
    </row>
    <row r="56" customFormat="false" ht="15" hidden="false" customHeight="false" outlineLevel="0" collapsed="false">
      <c r="A56" s="19" t="s">
        <v>81</v>
      </c>
      <c r="B56" s="11" t="s">
        <v>125</v>
      </c>
      <c r="C56" s="12"/>
      <c r="D56" s="12"/>
      <c r="E56" s="12"/>
      <c r="F56" s="12"/>
      <c r="G56" s="12"/>
      <c r="H56" s="12"/>
      <c r="I56" s="12"/>
      <c r="J56" s="12"/>
    </row>
    <row r="57" customFormat="false" ht="15" hidden="false" customHeight="false" outlineLevel="0" collapsed="false">
      <c r="A57" s="20" t="s">
        <v>81</v>
      </c>
      <c r="B57" s="20" t="s">
        <v>99</v>
      </c>
      <c r="C57" s="21" t="s">
        <v>100</v>
      </c>
      <c r="D57" s="23" t="n">
        <f aca="false">Financials!D51/Financials!D44</f>
        <v>0.271697423716426</v>
      </c>
      <c r="E57" s="23" t="n">
        <f aca="false">Financials!E51/Financials!E44</f>
        <v>0.255635254349081</v>
      </c>
      <c r="F57" s="23" t="n">
        <f aca="false">Financials!F51/Financials!F44</f>
        <v>0.27463726222874</v>
      </c>
      <c r="G57" s="23" t="n">
        <f aca="false">Financials!G51/Financials!G44</f>
        <v>0.30546723193782</v>
      </c>
      <c r="H57" s="23" t="n">
        <f aca="false">Financials!H51/Financials!H44</f>
        <v>0.46535586739774</v>
      </c>
      <c r="I57" s="23" t="n">
        <f aca="false">Financials!I51/Financials!I44</f>
        <v>0.266495917228787</v>
      </c>
      <c r="J57" s="24" t="n">
        <f aca="false">AVERAGE(E57:I57)</f>
        <v>0.313518306628434</v>
      </c>
    </row>
    <row r="58" customFormat="false" ht="15" hidden="false" customHeight="false" outlineLevel="0" collapsed="false">
      <c r="A58" s="20" t="s">
        <v>81</v>
      </c>
      <c r="B58" s="20" t="s">
        <v>126</v>
      </c>
      <c r="C58" s="21" t="s">
        <v>109</v>
      </c>
      <c r="D58" s="22" t="s">
        <v>93</v>
      </c>
      <c r="E58" s="25" t="n">
        <f aca="false">Financials!E44/((Financials!E64+Financials!D64)/2)</f>
        <v>0.803473836920448</v>
      </c>
      <c r="F58" s="25" t="n">
        <f aca="false">Financials!F44/((Financials!F64+Financials!E64)/2)</f>
        <v>0.870027664129255</v>
      </c>
      <c r="G58" s="25" t="n">
        <f aca="false">Financials!G44/((Financials!G64+Financials!F64)/2)</f>
        <v>0.76506892512839</v>
      </c>
      <c r="H58" s="25" t="n">
        <f aca="false">Financials!H44/((Financials!H64+Financials!G64)/2)</f>
        <v>0.838053594574898</v>
      </c>
      <c r="I58" s="25" t="n">
        <f aca="false">Financials!I44/((Financials!I64+Financials!H64)/2)</f>
        <v>0.868399031050429</v>
      </c>
      <c r="J58" s="26" t="n">
        <f aca="false">AVERAGE(E58:I58)</f>
        <v>0.829004610360684</v>
      </c>
    </row>
    <row r="59" customFormat="false" ht="15" hidden="false" customHeight="false" outlineLevel="0" collapsed="false">
      <c r="A59" s="20" t="s">
        <v>81</v>
      </c>
      <c r="B59" s="20" t="s">
        <v>127</v>
      </c>
      <c r="C59" s="21" t="s">
        <v>128</v>
      </c>
      <c r="D59" s="22" t="s">
        <v>93</v>
      </c>
      <c r="E59" s="25" t="n">
        <f aca="false">((Financials!E64+Financials!D64)/2)/((Financials!E75+Financials!D75)/2)</f>
        <v>1.22927151023599</v>
      </c>
      <c r="F59" s="25" t="n">
        <f aca="false">((Financials!F64+Financials!E64)/2)/((Financials!F75+Financials!E75)/2)</f>
        <v>1.23871286376415</v>
      </c>
      <c r="G59" s="25" t="n">
        <f aca="false">((Financials!G64+Financials!F64)/2)/((Financials!G75+Financials!F75)/2)</f>
        <v>1.23612367919144</v>
      </c>
      <c r="H59" s="25" t="n">
        <f aca="false">((Financials!H64+Financials!G64)/2)/((Financials!H75+Financials!G75)/2)</f>
        <v>1.24367463002553</v>
      </c>
      <c r="I59" s="25" t="n">
        <f aca="false">((Financials!I64+Financials!H64)/2)/((Financials!I75+Financials!H75)/2)</f>
        <v>1.27433578649754</v>
      </c>
      <c r="J59" s="26" t="n">
        <f aca="false">AVERAGE(E59:I59)</f>
        <v>1.24442369394293</v>
      </c>
    </row>
    <row r="60" customFormat="false" ht="15" hidden="false" customHeight="false" outlineLevel="0" collapsed="false">
      <c r="A60" s="20" t="s">
        <v>81</v>
      </c>
      <c r="B60" s="20" t="s">
        <v>129</v>
      </c>
      <c r="C60" s="21" t="s">
        <v>130</v>
      </c>
      <c r="D60" s="22" t="s">
        <v>93</v>
      </c>
      <c r="E60" s="23" t="n">
        <f aca="false">E57*E58*E59</f>
        <v>0.252487744499275</v>
      </c>
      <c r="F60" s="23" t="n">
        <f aca="false">F57*F58*F59</f>
        <v>0.295980548590533</v>
      </c>
      <c r="G60" s="23" t="n">
        <f aca="false">G57*G58*G59</f>
        <v>0.28888641394384</v>
      </c>
      <c r="H60" s="23" t="n">
        <f aca="false">H57*H58*H59</f>
        <v>0.485024595778244</v>
      </c>
      <c r="I60" s="23" t="n">
        <f aca="false">I57*I58*I59</f>
        <v>0.294912899808471</v>
      </c>
      <c r="J60" s="24" t="n">
        <f aca="false">AVERAGE(E60:I60)</f>
        <v>0.323458440524073</v>
      </c>
    </row>
    <row r="62" customFormat="false" ht="15" hidden="false" customHeight="false" outlineLevel="0" collapsed="false">
      <c r="A62" s="8" t="s">
        <v>82</v>
      </c>
      <c r="B62" s="8" t="s">
        <v>87</v>
      </c>
      <c r="C62" s="8" t="s">
        <v>88</v>
      </c>
      <c r="D62" s="9" t="s">
        <v>39</v>
      </c>
      <c r="E62" s="9" t="s">
        <v>40</v>
      </c>
      <c r="F62" s="9" t="s">
        <v>41</v>
      </c>
      <c r="G62" s="9" t="s">
        <v>42</v>
      </c>
      <c r="H62" s="9" t="s">
        <v>43</v>
      </c>
      <c r="I62" s="9" t="s">
        <v>44</v>
      </c>
      <c r="J62" s="9" t="s">
        <v>89</v>
      </c>
    </row>
    <row r="63" customFormat="false" ht="15" hidden="false" customHeight="false" outlineLevel="0" collapsed="false">
      <c r="A63" s="19" t="s">
        <v>82</v>
      </c>
      <c r="B63" s="11" t="s">
        <v>90</v>
      </c>
      <c r="C63" s="12"/>
      <c r="D63" s="12"/>
      <c r="E63" s="12"/>
      <c r="F63" s="12"/>
      <c r="G63" s="12"/>
      <c r="H63" s="12"/>
      <c r="I63" s="12"/>
      <c r="J63" s="12"/>
    </row>
    <row r="64" customFormat="false" ht="15" hidden="false" customHeight="false" outlineLevel="0" collapsed="false">
      <c r="A64" s="20" t="s">
        <v>82</v>
      </c>
      <c r="B64" s="20" t="s">
        <v>91</v>
      </c>
      <c r="C64" s="21" t="s">
        <v>92</v>
      </c>
      <c r="D64" s="22" t="s">
        <v>93</v>
      </c>
      <c r="E64" s="23" t="n">
        <f aca="false">Financials!E82/Financials!D82-1</f>
        <v>0.138778498222129</v>
      </c>
      <c r="F64" s="23" t="n">
        <f aca="false">Financials!F82/Financials!E82-1</f>
        <v>0.0588667462576913</v>
      </c>
      <c r="G64" s="23" t="n">
        <f aca="false">Financials!G82/Financials!F82-1</f>
        <v>0.0758022549869906</v>
      </c>
      <c r="H64" s="23" t="n">
        <f aca="false">Financials!H82/Financials!G82-1</f>
        <v>0.0128184456626894</v>
      </c>
      <c r="I64" s="23" t="n">
        <f aca="false">Financials!I82/Financials!H82-1</f>
        <v>0.0501472578205842</v>
      </c>
      <c r="J64" s="24" t="n">
        <f aca="false">AVERAGE(E64:I64)</f>
        <v>0.0672826405900169</v>
      </c>
    </row>
    <row r="65" customFormat="false" ht="15" hidden="false" customHeight="false" outlineLevel="0" collapsed="false">
      <c r="A65" s="20" t="s">
        <v>82</v>
      </c>
      <c r="B65" s="20" t="s">
        <v>94</v>
      </c>
      <c r="C65" s="21" t="s">
        <v>95</v>
      </c>
      <c r="D65" s="22" t="s">
        <v>93</v>
      </c>
      <c r="E65" s="23" t="n">
        <f aca="false">Financials!E89/Financials!D89-1</f>
        <v>0.0277286135693215</v>
      </c>
      <c r="F65" s="23" t="n">
        <f aca="false">Financials!F89/Financials!E89-1</f>
        <v>-0.0235361653272101</v>
      </c>
      <c r="G65" s="23" t="n">
        <f aca="false">Financials!G89/Financials!F89-1</f>
        <v>0.0646678424456202</v>
      </c>
      <c r="H65" s="23" t="n">
        <f aca="false">Financials!H89/Financials!G89-1</f>
        <v>-0.0392048591938156</v>
      </c>
      <c r="I65" s="23" t="n">
        <f aca="false">Financials!I89/Financials!H89-1</f>
        <v>0.0741379310344827</v>
      </c>
      <c r="J65" s="24" t="n">
        <f aca="false">AVERAGE(E65:I65)</f>
        <v>0.0207586725056798</v>
      </c>
    </row>
    <row r="66" customFormat="false" ht="15" hidden="false" customHeight="false" outlineLevel="0" collapsed="false">
      <c r="A66" s="19" t="s">
        <v>82</v>
      </c>
      <c r="B66" s="11" t="s">
        <v>96</v>
      </c>
      <c r="C66" s="12"/>
      <c r="D66" s="12"/>
      <c r="E66" s="12"/>
      <c r="F66" s="12"/>
      <c r="G66" s="12"/>
      <c r="H66" s="12"/>
      <c r="I66" s="12"/>
      <c r="J66" s="12"/>
    </row>
    <row r="67" customFormat="false" ht="15" hidden="false" customHeight="false" outlineLevel="0" collapsed="false">
      <c r="A67" s="20" t="s">
        <v>82</v>
      </c>
      <c r="B67" s="20" t="s">
        <v>97</v>
      </c>
      <c r="C67" s="21" t="s">
        <v>98</v>
      </c>
      <c r="D67" s="23" t="n">
        <f aca="false">Financials!D84/Financials!D82</f>
        <v>0.209370424597365</v>
      </c>
      <c r="E67" s="23" t="n">
        <f aca="false">Financials!E84/Financials!E82</f>
        <v>0.206814216181468</v>
      </c>
      <c r="F67" s="23" t="n">
        <f aca="false">Financials!F84/Financials!F82</f>
        <v>0.187510841283608</v>
      </c>
      <c r="G67" s="23" t="n">
        <f aca="false">Financials!G84/Financials!G82</f>
        <v>0.193485972267011</v>
      </c>
      <c r="H67" s="23" t="n">
        <f aca="false">Financials!H84/Financials!H82</f>
        <v>0.1843508716071</v>
      </c>
      <c r="I67" s="23" t="n">
        <f aca="false">Financials!I84/Financials!I82</f>
        <v>0.185704540286516</v>
      </c>
      <c r="J67" s="24" t="n">
        <f aca="false">AVERAGE(E67:I67)</f>
        <v>0.19157328832514</v>
      </c>
    </row>
    <row r="68" customFormat="false" ht="15" hidden="false" customHeight="false" outlineLevel="0" collapsed="false">
      <c r="A68" s="20" t="s">
        <v>82</v>
      </c>
      <c r="B68" s="20" t="s">
        <v>99</v>
      </c>
      <c r="C68" s="21" t="s">
        <v>100</v>
      </c>
      <c r="D68" s="23" t="n">
        <f aca="false">Financials!D89/Financials!D82</f>
        <v>0.177264170675591</v>
      </c>
      <c r="E68" s="23" t="n">
        <f aca="false">Financials!E89/Financials!E82</f>
        <v>0.159977959408577</v>
      </c>
      <c r="F68" s="23" t="n">
        <f aca="false">Financials!F89/Financials!F82</f>
        <v>0.147528187337381</v>
      </c>
      <c r="G68" s="23" t="n">
        <f aca="false">Financials!G89/Financials!G82</f>
        <v>0.146001289906482</v>
      </c>
      <c r="H68" s="23" t="n">
        <f aca="false">Financials!H89/Financials!H82</f>
        <v>0.138501950171137</v>
      </c>
      <c r="I68" s="23" t="n">
        <f aca="false">Financials!I89/Financials!I82</f>
        <v>0.14166603501857</v>
      </c>
      <c r="J68" s="24" t="n">
        <f aca="false">AVERAGE(E68:I68)</f>
        <v>0.14673508436843</v>
      </c>
    </row>
    <row r="69" customFormat="false" ht="15" hidden="false" customHeight="false" outlineLevel="0" collapsed="false">
      <c r="A69" s="20" t="s">
        <v>82</v>
      </c>
      <c r="B69" s="20" t="s">
        <v>101</v>
      </c>
      <c r="C69" s="21" t="s">
        <v>102</v>
      </c>
      <c r="D69" s="22" t="s">
        <v>93</v>
      </c>
      <c r="E69" s="23" t="n">
        <f aca="false">Financials!E89/((Financials!E113+Financials!D113)/2)</f>
        <v>0.217125763430138</v>
      </c>
      <c r="F69" s="23" t="n">
        <f aca="false">Financials!F89/((Financials!F113+Financials!E113)/2)</f>
        <v>0.196024200518583</v>
      </c>
      <c r="G69" s="23" t="n">
        <f aca="false">Financials!G89/((Financials!G113+Financials!F113)/2)</f>
        <v>0.19226073570784</v>
      </c>
      <c r="H69" s="23" t="n">
        <f aca="false">Financials!H89/((Financials!H113+Financials!G113)/2)</f>
        <v>0.168392528791251</v>
      </c>
      <c r="I69" s="23" t="n">
        <f aca="false">Financials!I89/((Financials!I113+Financials!H113)/2)</f>
        <v>0.168234393987128</v>
      </c>
      <c r="J69" s="24" t="n">
        <f aca="false">AVERAGE(E69:I69)</f>
        <v>0.188407524486988</v>
      </c>
    </row>
    <row r="70" customFormat="false" ht="15" hidden="false" customHeight="false" outlineLevel="0" collapsed="false">
      <c r="A70" s="20" t="s">
        <v>82</v>
      </c>
      <c r="B70" s="20" t="s">
        <v>103</v>
      </c>
      <c r="C70" s="21" t="s">
        <v>104</v>
      </c>
      <c r="D70" s="22" t="s">
        <v>93</v>
      </c>
      <c r="E70" s="23" t="n">
        <f aca="false">Financials!E114/((Financials!E115+Financials!D115)/2)</f>
        <v>0.262496445834518</v>
      </c>
      <c r="F70" s="23" t="n">
        <f aca="false">Financials!F114/((Financials!F115+Financials!E115)/2)</f>
        <v>0.23487908379774</v>
      </c>
      <c r="G70" s="23" t="n">
        <f aca="false">Financials!G114/((Financials!G115+Financials!F115)/2)</f>
        <v>0.232294882589578</v>
      </c>
      <c r="H70" s="23" t="n">
        <f aca="false">Financials!H114/((Financials!H115+Financials!G115)/2)</f>
        <v>0.210782820590923</v>
      </c>
      <c r="I70" s="23" t="n">
        <f aca="false">Financials!I114/((Financials!I115+Financials!H115)/2)</f>
        <v>0.209764474975466</v>
      </c>
      <c r="J70" s="24" t="n">
        <f aca="false">AVERAGE(E70:I70)</f>
        <v>0.230043541557645</v>
      </c>
    </row>
    <row r="71" customFormat="false" ht="15" hidden="false" customHeight="false" outlineLevel="0" collapsed="false">
      <c r="A71" s="20" t="s">
        <v>82</v>
      </c>
      <c r="B71" s="20" t="s">
        <v>105</v>
      </c>
      <c r="C71" s="21" t="s">
        <v>106</v>
      </c>
      <c r="D71" s="22" t="s">
        <v>93</v>
      </c>
      <c r="E71" s="23" t="n">
        <f aca="false">Financials!E89/((Financials!E102+Financials!D102)/2)</f>
        <v>0.15070507829397</v>
      </c>
      <c r="F71" s="23" t="n">
        <f aca="false">Financials!F89/((Financials!F102+Financials!E102)/2)</f>
        <v>0.131163974245287</v>
      </c>
      <c r="G71" s="23" t="n">
        <f aca="false">Financials!G89/((Financials!G102+Financials!F102)/2)</f>
        <v>0.125903781979978</v>
      </c>
      <c r="H71" s="23" t="n">
        <f aca="false">Financials!H89/((Financials!H102+Financials!G102)/2)</f>
        <v>0.111018949786257</v>
      </c>
      <c r="I71" s="23" t="n">
        <f aca="false">Financials!I89/((Financials!I102+Financials!H102)/2)</f>
        <v>0.110886977158113</v>
      </c>
      <c r="J71" s="24" t="n">
        <f aca="false">AVERAGE(E71:I71)</f>
        <v>0.125935752292721</v>
      </c>
    </row>
    <row r="72" customFormat="false" ht="15" hidden="false" customHeight="false" outlineLevel="0" collapsed="false">
      <c r="A72" s="19" t="s">
        <v>82</v>
      </c>
      <c r="B72" s="11" t="s">
        <v>107</v>
      </c>
      <c r="C72" s="12"/>
      <c r="D72" s="12"/>
      <c r="E72" s="12"/>
      <c r="F72" s="12"/>
      <c r="G72" s="12"/>
      <c r="H72" s="12"/>
      <c r="I72" s="12"/>
      <c r="J72" s="12"/>
    </row>
    <row r="73" customFormat="false" ht="15" hidden="false" customHeight="false" outlineLevel="0" collapsed="false">
      <c r="A73" s="20" t="s">
        <v>82</v>
      </c>
      <c r="B73" s="20" t="s">
        <v>108</v>
      </c>
      <c r="C73" s="21" t="s">
        <v>109</v>
      </c>
      <c r="D73" s="22" t="s">
        <v>93</v>
      </c>
      <c r="E73" s="25" t="n">
        <f aca="false">Financials!E82/((Financials!E102+Financials!D102)/2)</f>
        <v>0.942036508348473</v>
      </c>
      <c r="F73" s="25" t="n">
        <f aca="false">Financials!F82/((Financials!F102+Financials!E102)/2)</f>
        <v>0.889077379804912</v>
      </c>
      <c r="G73" s="25" t="n">
        <f aca="false">Financials!G82/((Financials!G102+Financials!F102)/2)</f>
        <v>0.862347052280312</v>
      </c>
      <c r="H73" s="25" t="n">
        <f aca="false">Financials!H82/((Financials!H102+Financials!G102)/2)</f>
        <v>0.801569578255599</v>
      </c>
      <c r="I73" s="25" t="n">
        <f aca="false">Financials!I82/((Financials!I102+Financials!H102)/2)</f>
        <v>0.782735093444082</v>
      </c>
      <c r="J73" s="26" t="n">
        <f aca="false">AVERAGE(E73:I73)</f>
        <v>0.855553122426676</v>
      </c>
    </row>
    <row r="74" customFormat="false" ht="15" hidden="false" customHeight="false" outlineLevel="0" collapsed="false">
      <c r="A74" s="20" t="s">
        <v>82</v>
      </c>
      <c r="B74" s="20" t="s">
        <v>73</v>
      </c>
      <c r="C74" s="21" t="s">
        <v>110</v>
      </c>
      <c r="D74" s="27" t="n">
        <f aca="false">Financials!D109</f>
        <v>21</v>
      </c>
      <c r="E74" s="27" t="n">
        <f aca="false">Financials!E109</f>
        <v>22</v>
      </c>
      <c r="F74" s="27" t="n">
        <f aca="false">Financials!F109</f>
        <v>27</v>
      </c>
      <c r="G74" s="27" t="n">
        <f aca="false">Financials!G109</f>
        <v>26</v>
      </c>
      <c r="H74" s="27" t="n">
        <f aca="false">Financials!H109</f>
        <v>26</v>
      </c>
      <c r="I74" s="27" t="n">
        <f aca="false">Financials!I109</f>
        <v>20</v>
      </c>
      <c r="J74" s="28" t="n">
        <f aca="false">AVERAGE(E74:I74)</f>
        <v>24.2</v>
      </c>
    </row>
    <row r="75" customFormat="false" ht="15" hidden="false" customHeight="false" outlineLevel="0" collapsed="false">
      <c r="A75" s="20" t="s">
        <v>82</v>
      </c>
      <c r="B75" s="20" t="s">
        <v>74</v>
      </c>
      <c r="C75" s="21" t="s">
        <v>110</v>
      </c>
      <c r="D75" s="27" t="n">
        <f aca="false">Financials!D110</f>
        <v>178</v>
      </c>
      <c r="E75" s="27" t="n">
        <f aca="false">Financials!E110</f>
        <v>169</v>
      </c>
      <c r="F75" s="27" t="n">
        <f aca="false">Financials!F110</f>
        <v>158</v>
      </c>
      <c r="G75" s="27" t="n">
        <f aca="false">Financials!G110</f>
        <v>149</v>
      </c>
      <c r="H75" s="27" t="n">
        <f aca="false">Financials!H110</f>
        <v>175</v>
      </c>
      <c r="I75" s="27" t="n">
        <f aca="false">Financials!I110</f>
        <v>166</v>
      </c>
      <c r="J75" s="28" t="n">
        <f aca="false">AVERAGE(E75:I75)</f>
        <v>163.4</v>
      </c>
    </row>
    <row r="76" customFormat="false" ht="15" hidden="false" customHeight="false" outlineLevel="0" collapsed="false">
      <c r="A76" s="20" t="s">
        <v>82</v>
      </c>
      <c r="B76" s="20" t="s">
        <v>111</v>
      </c>
      <c r="C76" s="21" t="s">
        <v>110</v>
      </c>
      <c r="D76" s="27" t="n">
        <f aca="false">Financials!D111</f>
        <v>197</v>
      </c>
      <c r="E76" s="27" t="n">
        <f aca="false">Financials!E111</f>
        <v>178</v>
      </c>
      <c r="F76" s="27" t="n">
        <f aca="false">Financials!F111</f>
        <v>171</v>
      </c>
      <c r="G76" s="27" t="n">
        <f aca="false">Financials!G111</f>
        <v>186</v>
      </c>
      <c r="H76" s="27" t="n">
        <f aca="false">Financials!H111</f>
        <v>215</v>
      </c>
      <c r="I76" s="27" t="n">
        <f aca="false">Financials!I111</f>
        <v>212</v>
      </c>
      <c r="J76" s="28" t="n">
        <f aca="false">AVERAGE(E76:I76)</f>
        <v>192.4</v>
      </c>
    </row>
    <row r="77" customFormat="false" ht="15" hidden="false" customHeight="false" outlineLevel="0" collapsed="false">
      <c r="A77" s="20" t="s">
        <v>82</v>
      </c>
      <c r="B77" s="20" t="s">
        <v>112</v>
      </c>
      <c r="C77" s="21" t="s">
        <v>113</v>
      </c>
      <c r="D77" s="29" t="n">
        <f aca="false">D74+D75-D76</f>
        <v>2</v>
      </c>
      <c r="E77" s="29" t="n">
        <f aca="false">E74+E75-E76</f>
        <v>13</v>
      </c>
      <c r="F77" s="29" t="n">
        <f aca="false">F74+F75-F76</f>
        <v>14</v>
      </c>
      <c r="G77" s="29" t="n">
        <f aca="false">G74+G75-G76</f>
        <v>-11</v>
      </c>
      <c r="H77" s="29" t="n">
        <f aca="false">H74+H75-H76</f>
        <v>-14</v>
      </c>
      <c r="I77" s="29" t="n">
        <f aca="false">I74+I75-I76</f>
        <v>-26</v>
      </c>
      <c r="J77" s="28" t="n">
        <f aca="false">AVERAGE(E77:I77)</f>
        <v>-4.8</v>
      </c>
    </row>
    <row r="78" customFormat="false" ht="15" hidden="false" customHeight="false" outlineLevel="0" collapsed="false">
      <c r="A78" s="19" t="s">
        <v>82</v>
      </c>
      <c r="B78" s="11" t="s">
        <v>114</v>
      </c>
      <c r="C78" s="12"/>
      <c r="D78" s="12"/>
      <c r="E78" s="12"/>
      <c r="F78" s="12"/>
      <c r="G78" s="12"/>
      <c r="H78" s="12"/>
      <c r="I78" s="12"/>
      <c r="J78" s="12"/>
    </row>
    <row r="79" customFormat="false" ht="15" hidden="false" customHeight="false" outlineLevel="0" collapsed="false">
      <c r="A79" s="20" t="s">
        <v>82</v>
      </c>
      <c r="B79" s="20" t="s">
        <v>115</v>
      </c>
      <c r="C79" s="21" t="s">
        <v>116</v>
      </c>
      <c r="D79" s="25" t="n">
        <f aca="false">Financials!D95/Financials!D113</f>
        <v>0.0664144050104384</v>
      </c>
      <c r="E79" s="25" t="n">
        <f aca="false">Financials!E95/Financials!E113</f>
        <v>0.122882366976855</v>
      </c>
      <c r="F79" s="25" t="n">
        <f aca="false">Financials!F95/Financials!F113</f>
        <v>0.130836955310376</v>
      </c>
      <c r="G79" s="25" t="n">
        <f aca="false">Financials!G95/Financials!G113</f>
        <v>0.138353942833975</v>
      </c>
      <c r="H79" s="25" t="n">
        <f aca="false">Financials!H95/Financials!H113</f>
        <v>0.087962962962963</v>
      </c>
      <c r="I79" s="25" t="n">
        <f aca="false">Financials!I95/Financials!I113</f>
        <v>0.112706892022068</v>
      </c>
      <c r="J79" s="26" t="n">
        <f aca="false">AVERAGE(E79:I79)</f>
        <v>0.118548624021247</v>
      </c>
    </row>
    <row r="80" customFormat="false" ht="15" hidden="false" customHeight="false" outlineLevel="0" collapsed="false">
      <c r="A80" s="20" t="s">
        <v>82</v>
      </c>
      <c r="B80" s="20" t="s">
        <v>117</v>
      </c>
      <c r="C80" s="21" t="s">
        <v>118</v>
      </c>
      <c r="D80" s="25" t="n">
        <f aca="false">IFERROR(Financials!D114/Financials!D86,0)</f>
        <v>67.3225806451613</v>
      </c>
      <c r="E80" s="25" t="n">
        <f aca="false">IFERROR(Financials!E114/Financials!E86,0)</f>
        <v>59.1794871794872</v>
      </c>
      <c r="F80" s="25" t="n">
        <f aca="false">IFERROR(Financials!F114/Financials!F86,0)</f>
        <v>29.448717948718</v>
      </c>
      <c r="G80" s="25" t="n">
        <f aca="false">IFERROR(Financials!G114/Financials!G86,0)</f>
        <v>20.0241935483871</v>
      </c>
      <c r="H80" s="25" t="n">
        <f aca="false">IFERROR(Financials!H114/Financials!H86,0)</f>
        <v>14.7682926829268</v>
      </c>
      <c r="I80" s="25" t="n">
        <f aca="false">IFERROR(Financials!I114/Financials!I86,0)</f>
        <v>17.6896551724138</v>
      </c>
      <c r="J80" s="26" t="n">
        <f aca="false">AVERAGE(E80:I80)</f>
        <v>28.2220693063866</v>
      </c>
    </row>
    <row r="81" customFormat="false" ht="15" hidden="false" customHeight="false" outlineLevel="0" collapsed="false">
      <c r="A81" s="19" t="s">
        <v>82</v>
      </c>
      <c r="B81" s="11" t="s">
        <v>119</v>
      </c>
      <c r="C81" s="12"/>
      <c r="D81" s="12"/>
      <c r="E81" s="12"/>
      <c r="F81" s="12"/>
      <c r="G81" s="12"/>
      <c r="H81" s="12"/>
      <c r="I81" s="12"/>
      <c r="J81" s="12"/>
    </row>
    <row r="82" customFormat="false" ht="15" hidden="false" customHeight="false" outlineLevel="0" collapsed="false">
      <c r="A82" s="20" t="s">
        <v>82</v>
      </c>
      <c r="B82" s="20" t="s">
        <v>120</v>
      </c>
      <c r="C82" s="21" t="s">
        <v>121</v>
      </c>
      <c r="D82" s="25" t="n">
        <f aca="false">Financials!D104/Financials!D89</f>
        <v>1.24778761061947</v>
      </c>
      <c r="E82" s="25" t="n">
        <f aca="false">Financials!E104/Financials!E89</f>
        <v>1.03444316877153</v>
      </c>
      <c r="F82" s="25" t="n">
        <f aca="false">Financials!F104/Financials!F89</f>
        <v>0.874779541446208</v>
      </c>
      <c r="G82" s="25" t="n">
        <f aca="false">Financials!G104/Financials!G89</f>
        <v>1.11154058531198</v>
      </c>
      <c r="H82" s="25" t="n">
        <f aca="false">Financials!H104/Financials!H89</f>
        <v>1.14195402298851</v>
      </c>
      <c r="I82" s="25" t="n">
        <f aca="false">Financials!I104/Financials!I89</f>
        <v>1.37988228999465</v>
      </c>
      <c r="J82" s="26" t="n">
        <f aca="false">AVERAGE(E82:I82)</f>
        <v>1.10851992170257</v>
      </c>
    </row>
    <row r="83" customFormat="false" ht="15" hidden="false" customHeight="false" outlineLevel="0" collapsed="false">
      <c r="A83" s="20" t="s">
        <v>82</v>
      </c>
      <c r="B83" s="20" t="s">
        <v>122</v>
      </c>
      <c r="C83" s="21" t="s">
        <v>123</v>
      </c>
      <c r="D83" s="23" t="n">
        <f aca="false">Financials!D107/Financials!D82</f>
        <v>0.189081782053964</v>
      </c>
      <c r="E83" s="23" t="n">
        <f aca="false">Financials!E107/Financials!E82</f>
        <v>0.131600697952062</v>
      </c>
      <c r="F83" s="23" t="n">
        <f aca="false">Financials!F107/Financials!F82</f>
        <v>0.086990459670425</v>
      </c>
      <c r="G83" s="23" t="n">
        <f aca="false">Financials!G107/Financials!G82</f>
        <v>0.117139632376653</v>
      </c>
      <c r="H83" s="23" t="n">
        <f aca="false">Financials!H107/Financials!H82</f>
        <v>0.115259094165406</v>
      </c>
      <c r="I83" s="23" t="n">
        <f aca="false">Financials!I107/Financials!I82</f>
        <v>0.165239141969226</v>
      </c>
      <c r="J83" s="24" t="n">
        <f aca="false">AVERAGE(E83:I83)</f>
        <v>0.123245805226754</v>
      </c>
    </row>
    <row r="84" customFormat="false" ht="15" hidden="false" customHeight="false" outlineLevel="0" collapsed="false">
      <c r="A84" s="20" t="s">
        <v>82</v>
      </c>
      <c r="B84" s="20" t="s">
        <v>124</v>
      </c>
      <c r="C84" s="21" t="s">
        <v>110</v>
      </c>
      <c r="D84" s="30" t="n">
        <f aca="false">Financials!D91</f>
        <v>0.5</v>
      </c>
      <c r="E84" s="30" t="n">
        <f aca="false">Financials!E91</f>
        <v>0.53</v>
      </c>
      <c r="F84" s="30" t="n">
        <f aca="false">Financials!F91</f>
        <v>0.54</v>
      </c>
      <c r="G84" s="30" t="n">
        <f aca="false">Financials!G91</f>
        <v>0.53</v>
      </c>
      <c r="H84" s="30" t="n">
        <f aca="false">Financials!H91</f>
        <v>0.8</v>
      </c>
      <c r="I84" s="30" t="n">
        <f aca="false">Financials!I91</f>
        <v>0.77</v>
      </c>
      <c r="J84" s="24" t="n">
        <f aca="false">AVERAGE(E84:I84)</f>
        <v>0.634</v>
      </c>
    </row>
    <row r="85" customFormat="false" ht="15" hidden="false" customHeight="false" outlineLevel="0" collapsed="false">
      <c r="A85" s="19" t="s">
        <v>82</v>
      </c>
      <c r="B85" s="11" t="s">
        <v>125</v>
      </c>
      <c r="C85" s="12"/>
      <c r="D85" s="12"/>
      <c r="E85" s="12"/>
      <c r="F85" s="12"/>
      <c r="G85" s="12"/>
      <c r="H85" s="12"/>
      <c r="I85" s="12"/>
      <c r="J85" s="12"/>
    </row>
    <row r="86" customFormat="false" ht="15" hidden="false" customHeight="false" outlineLevel="0" collapsed="false">
      <c r="A86" s="20" t="s">
        <v>82</v>
      </c>
      <c r="B86" s="20" t="s">
        <v>99</v>
      </c>
      <c r="C86" s="21" t="s">
        <v>100</v>
      </c>
      <c r="D86" s="23" t="n">
        <f aca="false">Financials!D89/Financials!D82</f>
        <v>0.177264170675591</v>
      </c>
      <c r="E86" s="23" t="n">
        <f aca="false">Financials!E89/Financials!E82</f>
        <v>0.159977959408577</v>
      </c>
      <c r="F86" s="23" t="n">
        <f aca="false">Financials!F89/Financials!F82</f>
        <v>0.147528187337381</v>
      </c>
      <c r="G86" s="23" t="n">
        <f aca="false">Financials!G89/Financials!G82</f>
        <v>0.146001289906482</v>
      </c>
      <c r="H86" s="23" t="n">
        <f aca="false">Financials!H89/Financials!H82</f>
        <v>0.138501950171137</v>
      </c>
      <c r="I86" s="23" t="n">
        <f aca="false">Financials!I89/Financials!I82</f>
        <v>0.14166603501857</v>
      </c>
      <c r="J86" s="24" t="n">
        <f aca="false">AVERAGE(E86:I86)</f>
        <v>0.14673508436843</v>
      </c>
    </row>
    <row r="87" customFormat="false" ht="15" hidden="false" customHeight="false" outlineLevel="0" collapsed="false">
      <c r="A87" s="20" t="s">
        <v>82</v>
      </c>
      <c r="B87" s="20" t="s">
        <v>126</v>
      </c>
      <c r="C87" s="21" t="s">
        <v>109</v>
      </c>
      <c r="D87" s="22" t="s">
        <v>93</v>
      </c>
      <c r="E87" s="25" t="n">
        <f aca="false">Financials!E82/((Financials!E102+Financials!D102)/2)</f>
        <v>0.942036508348473</v>
      </c>
      <c r="F87" s="25" t="n">
        <f aca="false">Financials!F82/((Financials!F102+Financials!E102)/2)</f>
        <v>0.889077379804912</v>
      </c>
      <c r="G87" s="25" t="n">
        <f aca="false">Financials!G82/((Financials!G102+Financials!F102)/2)</f>
        <v>0.862347052280312</v>
      </c>
      <c r="H87" s="25" t="n">
        <f aca="false">Financials!H82/((Financials!H102+Financials!G102)/2)</f>
        <v>0.801569578255599</v>
      </c>
      <c r="I87" s="25" t="n">
        <f aca="false">Financials!I82/((Financials!I102+Financials!H102)/2)</f>
        <v>0.782735093444082</v>
      </c>
      <c r="J87" s="26" t="n">
        <f aca="false">AVERAGE(E87:I87)</f>
        <v>0.855553122426676</v>
      </c>
    </row>
    <row r="88" customFormat="false" ht="15" hidden="false" customHeight="false" outlineLevel="0" collapsed="false">
      <c r="A88" s="20" t="s">
        <v>82</v>
      </c>
      <c r="B88" s="20" t="s">
        <v>127</v>
      </c>
      <c r="C88" s="21" t="s">
        <v>128</v>
      </c>
      <c r="D88" s="22" t="s">
        <v>93</v>
      </c>
      <c r="E88" s="25" t="n">
        <f aca="false">((Financials!E102+Financials!D102)/2)/((Financials!E113+Financials!D113)/2)</f>
        <v>1.44073289293282</v>
      </c>
      <c r="F88" s="25" t="n">
        <f aca="false">((Financials!F102+Financials!E102)/2)/((Financials!F113+Financials!E113)/2)</f>
        <v>1.49449726303659</v>
      </c>
      <c r="G88" s="25" t="n">
        <f aca="false">((Financials!G102+Financials!F102)/2)/((Financials!G113+Financials!F113)/2)</f>
        <v>1.52704495992356</v>
      </c>
      <c r="H88" s="25" t="n">
        <f aca="false">((Financials!H102+Financials!G102)/2)/((Financials!H113+Financials!G113)/2)</f>
        <v>1.51679086422143</v>
      </c>
      <c r="I88" s="25" t="n">
        <f aca="false">((Financials!I102+Financials!H102)/2)/((Financials!I113+Financials!H113)/2)</f>
        <v>1.5171699896485</v>
      </c>
      <c r="J88" s="26" t="n">
        <f aca="false">AVERAGE(E88:I88)</f>
        <v>1.49924719395258</v>
      </c>
    </row>
    <row r="89" customFormat="false" ht="15" hidden="false" customHeight="false" outlineLevel="0" collapsed="false">
      <c r="A89" s="20" t="s">
        <v>82</v>
      </c>
      <c r="B89" s="20" t="s">
        <v>129</v>
      </c>
      <c r="C89" s="21" t="s">
        <v>130</v>
      </c>
      <c r="D89" s="22" t="s">
        <v>93</v>
      </c>
      <c r="E89" s="23" t="n">
        <f aca="false">E86*E87*E88</f>
        <v>0.217125763430138</v>
      </c>
      <c r="F89" s="23" t="n">
        <f aca="false">F86*F87*F88</f>
        <v>0.196024200518583</v>
      </c>
      <c r="G89" s="23" t="n">
        <f aca="false">G86*G87*G88</f>
        <v>0.19226073570784</v>
      </c>
      <c r="H89" s="23" t="n">
        <f aca="false">H86*H87*H88</f>
        <v>0.168392528791251</v>
      </c>
      <c r="I89" s="23" t="n">
        <f aca="false">I86*I87*I88</f>
        <v>0.168234393987128</v>
      </c>
      <c r="J89" s="24" t="n">
        <f aca="false">AVERAGE(E89:I89)</f>
        <v>0.188407524486988</v>
      </c>
    </row>
    <row r="91" customFormat="false" ht="15" hidden="false" customHeight="false" outlineLevel="0" collapsed="false">
      <c r="A91" s="8" t="s">
        <v>83</v>
      </c>
      <c r="B91" s="8" t="s">
        <v>87</v>
      </c>
      <c r="C91" s="8" t="s">
        <v>88</v>
      </c>
      <c r="D91" s="9" t="s">
        <v>39</v>
      </c>
      <c r="E91" s="9" t="s">
        <v>40</v>
      </c>
      <c r="F91" s="9" t="s">
        <v>41</v>
      </c>
      <c r="G91" s="9" t="s">
        <v>42</v>
      </c>
      <c r="H91" s="9" t="s">
        <v>43</v>
      </c>
      <c r="I91" s="9" t="s">
        <v>44</v>
      </c>
      <c r="J91" s="9" t="s">
        <v>89</v>
      </c>
    </row>
    <row r="92" customFormat="false" ht="15" hidden="false" customHeight="false" outlineLevel="0" collapsed="false">
      <c r="A92" s="19" t="s">
        <v>83</v>
      </c>
      <c r="B92" s="11" t="s">
        <v>90</v>
      </c>
      <c r="C92" s="12"/>
      <c r="D92" s="12"/>
      <c r="E92" s="12"/>
      <c r="F92" s="12"/>
      <c r="G92" s="12"/>
      <c r="H92" s="12"/>
      <c r="I92" s="12"/>
      <c r="J92" s="12"/>
    </row>
    <row r="93" customFormat="false" ht="15" hidden="false" customHeight="false" outlineLevel="0" collapsed="false">
      <c r="A93" s="20" t="s">
        <v>83</v>
      </c>
      <c r="B93" s="20" t="s">
        <v>91</v>
      </c>
      <c r="C93" s="21" t="s">
        <v>92</v>
      </c>
      <c r="D93" s="22" t="s">
        <v>93</v>
      </c>
      <c r="E93" s="23" t="n">
        <f aca="false">Financials!E120/Financials!D120-1</f>
        <v>0.0761266747868452</v>
      </c>
      <c r="F93" s="23" t="n">
        <f aca="false">Financials!F120/Financials!E120-1</f>
        <v>0.15315506508206</v>
      </c>
      <c r="G93" s="23" t="n">
        <f aca="false">Financials!G120/Financials!F120-1</f>
        <v>0.0287098950984601</v>
      </c>
      <c r="H93" s="23" t="n">
        <f aca="false">Financials!H120/Financials!G120-1</f>
        <v>0.0700101377541893</v>
      </c>
      <c r="I93" s="23" t="n">
        <f aca="false">Financials!I120/Financials!H120-1</f>
        <v>0.0673800367831465</v>
      </c>
      <c r="J93" s="24" t="n">
        <f aca="false">AVERAGE(E93:I93)</f>
        <v>0.0790763619009402</v>
      </c>
    </row>
    <row r="94" customFormat="false" ht="15" hidden="false" customHeight="false" outlineLevel="0" collapsed="false">
      <c r="A94" s="20" t="s">
        <v>83</v>
      </c>
      <c r="B94" s="20" t="s">
        <v>94</v>
      </c>
      <c r="C94" s="21" t="s">
        <v>95</v>
      </c>
      <c r="D94" s="22" t="s">
        <v>93</v>
      </c>
      <c r="E94" s="23" t="n">
        <f aca="false">Financials!E127/Financials!D127-1</f>
        <v>-0.180983252296056</v>
      </c>
      <c r="F94" s="23" t="n">
        <f aca="false">Financials!F127/Financials!E127-1</f>
        <v>0.527704485488127</v>
      </c>
      <c r="G94" s="23" t="n">
        <f aca="false">Financials!G127/Financials!F127-1</f>
        <v>-0.0785837651122625</v>
      </c>
      <c r="H94" s="23" t="n">
        <f aca="false">Financials!H127/Financials!G127-1</f>
        <v>0.0206185567010309</v>
      </c>
      <c r="I94" s="23" t="n">
        <f aca="false">Financials!I127/Financials!H127-1</f>
        <v>0.164830119375574</v>
      </c>
      <c r="J94" s="24" t="n">
        <f aca="false">AVERAGE(E94:I94)</f>
        <v>0.0907172288312825</v>
      </c>
    </row>
    <row r="95" customFormat="false" ht="15" hidden="false" customHeight="false" outlineLevel="0" collapsed="false">
      <c r="A95" s="19" t="s">
        <v>83</v>
      </c>
      <c r="B95" s="11" t="s">
        <v>96</v>
      </c>
      <c r="C95" s="12"/>
      <c r="D95" s="12"/>
      <c r="E95" s="12"/>
      <c r="F95" s="12"/>
      <c r="G95" s="12"/>
      <c r="H95" s="12"/>
      <c r="I95" s="12"/>
      <c r="J95" s="12"/>
    </row>
    <row r="96" customFormat="false" ht="15" hidden="false" customHeight="false" outlineLevel="0" collapsed="false">
      <c r="A96" s="20" t="s">
        <v>83</v>
      </c>
      <c r="B96" s="20" t="s">
        <v>97</v>
      </c>
      <c r="C96" s="21" t="s">
        <v>98</v>
      </c>
      <c r="D96" s="23" t="n">
        <f aca="false">Financials!D122/Financials!D120</f>
        <v>0.191001827040195</v>
      </c>
      <c r="E96" s="23" t="n">
        <f aca="false">Financials!E122/Financials!E120</f>
        <v>0.155701754385965</v>
      </c>
      <c r="F96" s="23" t="n">
        <f aca="false">Financials!F122/Financials!F120</f>
        <v>0.173670326973805</v>
      </c>
      <c r="G96" s="23" t="n">
        <f aca="false">Financials!G122/Financials!G120</f>
        <v>0.188860397161429</v>
      </c>
      <c r="H96" s="23" t="n">
        <f aca="false">Financials!H122/Financials!H120</f>
        <v>0.177004960151591</v>
      </c>
      <c r="I96" s="23" t="n">
        <f aca="false">Financials!I122/Financials!I120</f>
        <v>0.183479532163743</v>
      </c>
      <c r="J96" s="24" t="n">
        <f aca="false">AVERAGE(E96:I96)</f>
        <v>0.175743394167307</v>
      </c>
    </row>
    <row r="97" customFormat="false" ht="15" hidden="false" customHeight="false" outlineLevel="0" collapsed="false">
      <c r="A97" s="20" t="s">
        <v>83</v>
      </c>
      <c r="B97" s="20" t="s">
        <v>99</v>
      </c>
      <c r="C97" s="21" t="s">
        <v>100</v>
      </c>
      <c r="D97" s="23" t="n">
        <f aca="false">Financials!D127/Financials!D120</f>
        <v>0.140910475030451</v>
      </c>
      <c r="E97" s="23" t="n">
        <f aca="false">Financials!E127/Financials!E120</f>
        <v>0.107243916242218</v>
      </c>
      <c r="F97" s="23" t="n">
        <f aca="false">Financials!F127/Financials!F120</f>
        <v>0.14207717317956</v>
      </c>
      <c r="G97" s="23" t="n">
        <f aca="false">Financials!G127/Financials!G120</f>
        <v>0.127258631999523</v>
      </c>
      <c r="H97" s="23" t="n">
        <f aca="false">Financials!H127/Financials!H120</f>
        <v>0.121384383882294</v>
      </c>
      <c r="I97" s="23" t="n">
        <f aca="false">Financials!I127/Financials!I120</f>
        <v>0.132466583124478</v>
      </c>
      <c r="J97" s="24" t="n">
        <f aca="false">AVERAGE(E97:I97)</f>
        <v>0.126086137685615</v>
      </c>
    </row>
    <row r="98" customFormat="false" ht="15" hidden="false" customHeight="false" outlineLevel="0" collapsed="false">
      <c r="A98" s="20" t="s">
        <v>83</v>
      </c>
      <c r="B98" s="20" t="s">
        <v>101</v>
      </c>
      <c r="C98" s="21" t="s">
        <v>102</v>
      </c>
      <c r="D98" s="22" t="s">
        <v>93</v>
      </c>
      <c r="E98" s="23" t="n">
        <f aca="false">Financials!E127/((Financials!E151+Financials!D151)/2)</f>
        <v>0.496560759908287</v>
      </c>
      <c r="F98" s="23" t="n">
        <f aca="false">Financials!F127/((Financials!F151+Financials!E151)/2)</f>
        <v>0.760341431385424</v>
      </c>
      <c r="G98" s="23" t="n">
        <f aca="false">Financials!G127/((Financials!G151+Financials!F151)/2)</f>
        <v>0.570969899665552</v>
      </c>
      <c r="H98" s="23" t="n">
        <f aca="false">Financials!H127/((Financials!H151+Financials!G151)/2)</f>
        <v>0.525009039411836</v>
      </c>
      <c r="I98" s="23" t="n">
        <f aca="false">Financials!I127/((Financials!I151+Financials!H151)/2)</f>
        <v>0.536250264214754</v>
      </c>
      <c r="J98" s="24" t="n">
        <f aca="false">AVERAGE(E98:I98)</f>
        <v>0.57782627891717</v>
      </c>
    </row>
    <row r="99" customFormat="false" ht="15" hidden="false" customHeight="false" outlineLevel="0" collapsed="false">
      <c r="A99" s="20" t="s">
        <v>83</v>
      </c>
      <c r="B99" s="20" t="s">
        <v>103</v>
      </c>
      <c r="C99" s="21" t="s">
        <v>104</v>
      </c>
      <c r="D99" s="22" t="s">
        <v>93</v>
      </c>
      <c r="E99" s="23" t="n">
        <f aca="false">Financials!E152/((Financials!E153+Financials!D153)/2)</f>
        <v>0.415560127174116</v>
      </c>
      <c r="F99" s="23" t="n">
        <f aca="false">Financials!F152/((Financials!F153+Financials!E153)/2)</f>
        <v>0.553500432152118</v>
      </c>
      <c r="G99" s="23" t="n">
        <f aca="false">Financials!G152/((Financials!G153+Financials!F153)/2)</f>
        <v>0.490867033580601</v>
      </c>
      <c r="H99" s="23" t="n">
        <f aca="false">Financials!H152/((Financials!H153+Financials!G153)/2)</f>
        <v>0.528210870876045</v>
      </c>
      <c r="I99" s="23" t="n">
        <f aca="false">Financials!I152/((Financials!I153+Financials!H153)/2)</f>
        <v>0.562825709322525</v>
      </c>
      <c r="J99" s="24" t="n">
        <f aca="false">AVERAGE(E99:I99)</f>
        <v>0.510192834621081</v>
      </c>
    </row>
    <row r="100" customFormat="false" ht="15" hidden="false" customHeight="false" outlineLevel="0" collapsed="false">
      <c r="A100" s="20" t="s">
        <v>83</v>
      </c>
      <c r="B100" s="20" t="s">
        <v>105</v>
      </c>
      <c r="C100" s="21" t="s">
        <v>106</v>
      </c>
      <c r="D100" s="22" t="s">
        <v>93</v>
      </c>
      <c r="E100" s="23" t="n">
        <f aca="false">Financials!E127/((Financials!E140+Financials!D140)/2)</f>
        <v>0.195272750692342</v>
      </c>
      <c r="F100" s="23" t="n">
        <f aca="false">Financials!F127/((Financials!F140+Financials!E140)/2)</f>
        <v>0.274472623844513</v>
      </c>
      <c r="G100" s="23" t="n">
        <f aca="false">Financials!G127/((Financials!G140+Financials!F140)/2)</f>
        <v>0.231679513625014</v>
      </c>
      <c r="H100" s="23" t="n">
        <f aca="false">Financials!H127/((Financials!H140+Financials!G140)/2)</f>
        <v>0.243243243243243</v>
      </c>
      <c r="I100" s="23" t="n">
        <f aca="false">Financials!I127/((Financials!I140+Financials!H140)/2)</f>
        <v>0.273280551516131</v>
      </c>
      <c r="J100" s="24" t="n">
        <f aca="false">AVERAGE(E100:I100)</f>
        <v>0.243589736584249</v>
      </c>
    </row>
    <row r="101" customFormat="false" ht="15" hidden="false" customHeight="false" outlineLevel="0" collapsed="false">
      <c r="A101" s="19" t="s">
        <v>83</v>
      </c>
      <c r="B101" s="11" t="s">
        <v>107</v>
      </c>
      <c r="C101" s="12"/>
      <c r="D101" s="12"/>
      <c r="E101" s="12"/>
      <c r="F101" s="12"/>
      <c r="G101" s="12"/>
      <c r="H101" s="12"/>
      <c r="I101" s="12"/>
      <c r="J101" s="12"/>
    </row>
    <row r="102" customFormat="false" ht="15" hidden="false" customHeight="false" outlineLevel="0" collapsed="false">
      <c r="A102" s="20" t="s">
        <v>83</v>
      </c>
      <c r="B102" s="20" t="s">
        <v>108</v>
      </c>
      <c r="C102" s="21" t="s">
        <v>109</v>
      </c>
      <c r="D102" s="22" t="s">
        <v>93</v>
      </c>
      <c r="E102" s="25" t="n">
        <f aca="false">Financials!E120/((Financials!E140+Financials!D140)/2)</f>
        <v>1.82082823468796</v>
      </c>
      <c r="F102" s="25" t="n">
        <f aca="false">Financials!F120/((Financials!F140+Financials!E140)/2)</f>
        <v>1.93185589002133</v>
      </c>
      <c r="G102" s="25" t="n">
        <f aca="false">Financials!G120/((Financials!G140+Financials!F140)/2)</f>
        <v>1.82054065790902</v>
      </c>
      <c r="H102" s="25" t="n">
        <f aca="false">Financials!H120/((Financials!H140+Financials!G140)/2)</f>
        <v>2.00390886754523</v>
      </c>
      <c r="I102" s="25" t="n">
        <f aca="false">Financials!I120/((Financials!I140+Financials!H140)/2)</f>
        <v>2.0630150266602</v>
      </c>
      <c r="J102" s="26" t="n">
        <f aca="false">AVERAGE(E102:I102)</f>
        <v>1.92802973536475</v>
      </c>
    </row>
    <row r="103" customFormat="false" ht="15" hidden="false" customHeight="false" outlineLevel="0" collapsed="false">
      <c r="A103" s="20" t="s">
        <v>83</v>
      </c>
      <c r="B103" s="20" t="s">
        <v>73</v>
      </c>
      <c r="C103" s="21" t="s">
        <v>110</v>
      </c>
      <c r="D103" s="27" t="n">
        <f aca="false">Financials!D147</f>
        <v>7</v>
      </c>
      <c r="E103" s="27" t="n">
        <f aca="false">Financials!E147</f>
        <v>9</v>
      </c>
      <c r="F103" s="27" t="n">
        <f aca="false">Financials!F147</f>
        <v>7</v>
      </c>
      <c r="G103" s="27" t="n">
        <f aca="false">Financials!G147</f>
        <v>9</v>
      </c>
      <c r="H103" s="27" t="n">
        <f aca="false">Financials!H147</f>
        <v>9</v>
      </c>
      <c r="I103" s="27" t="n">
        <f aca="false">Financials!I147</f>
        <v>9</v>
      </c>
      <c r="J103" s="28" t="n">
        <f aca="false">AVERAGE(E103:I103)</f>
        <v>8.6</v>
      </c>
    </row>
    <row r="104" customFormat="false" ht="15" hidden="false" customHeight="false" outlineLevel="0" collapsed="false">
      <c r="A104" s="20" t="s">
        <v>83</v>
      </c>
      <c r="B104" s="20" t="s">
        <v>74</v>
      </c>
      <c r="C104" s="21" t="s">
        <v>110</v>
      </c>
      <c r="D104" s="27" t="n">
        <f aca="false">Financials!D148</f>
        <v>52</v>
      </c>
      <c r="E104" s="27" t="n">
        <f aca="false">Financials!E148</f>
        <v>57</v>
      </c>
      <c r="F104" s="27" t="n">
        <f aca="false">Financials!F148</f>
        <v>45</v>
      </c>
      <c r="G104" s="27" t="n">
        <f aca="false">Financials!G148</f>
        <v>45</v>
      </c>
      <c r="H104" s="27" t="n">
        <f aca="false">Financials!H148</f>
        <v>43</v>
      </c>
      <c r="I104" s="27" t="n">
        <f aca="false">Financials!I148</f>
        <v>44</v>
      </c>
      <c r="J104" s="28" t="n">
        <f aca="false">AVERAGE(E104:I104)</f>
        <v>46.8</v>
      </c>
    </row>
    <row r="105" customFormat="false" ht="15" hidden="false" customHeight="false" outlineLevel="0" collapsed="false">
      <c r="A105" s="20" t="s">
        <v>83</v>
      </c>
      <c r="B105" s="20" t="s">
        <v>111</v>
      </c>
      <c r="C105" s="21" t="s">
        <v>110</v>
      </c>
      <c r="D105" s="27" t="n">
        <f aca="false">Financials!D149</f>
        <v>63</v>
      </c>
      <c r="E105" s="27" t="n">
        <f aca="false">Financials!E149</f>
        <v>55</v>
      </c>
      <c r="F105" s="27" t="n">
        <f aca="false">Financials!F149</f>
        <v>55</v>
      </c>
      <c r="G105" s="27" t="n">
        <f aca="false">Financials!G149</f>
        <v>63</v>
      </c>
      <c r="H105" s="27" t="n">
        <f aca="false">Financials!H149</f>
        <v>60</v>
      </c>
      <c r="I105" s="27" t="n">
        <f aca="false">Financials!I149</f>
        <v>62</v>
      </c>
      <c r="J105" s="28" t="n">
        <f aca="false">AVERAGE(E105:I105)</f>
        <v>59</v>
      </c>
    </row>
    <row r="106" customFormat="false" ht="15" hidden="false" customHeight="false" outlineLevel="0" collapsed="false">
      <c r="A106" s="20" t="s">
        <v>83</v>
      </c>
      <c r="B106" s="20" t="s">
        <v>112</v>
      </c>
      <c r="C106" s="21" t="s">
        <v>113</v>
      </c>
      <c r="D106" s="29" t="n">
        <f aca="false">D103+D104-D105</f>
        <v>-4</v>
      </c>
      <c r="E106" s="29" t="n">
        <f aca="false">E103+E104-E105</f>
        <v>11</v>
      </c>
      <c r="F106" s="29" t="n">
        <f aca="false">F103+F104-F105</f>
        <v>-3</v>
      </c>
      <c r="G106" s="29" t="n">
        <f aca="false">G103+G104-G105</f>
        <v>-9</v>
      </c>
      <c r="H106" s="29" t="n">
        <f aca="false">H103+H104-H105</f>
        <v>-8</v>
      </c>
      <c r="I106" s="29" t="n">
        <f aca="false">I103+I104-I105</f>
        <v>-9</v>
      </c>
      <c r="J106" s="28" t="n">
        <f aca="false">AVERAGE(E106:I106)</f>
        <v>-3.6</v>
      </c>
    </row>
    <row r="107" customFormat="false" ht="15" hidden="false" customHeight="false" outlineLevel="0" collapsed="false">
      <c r="A107" s="19" t="s">
        <v>83</v>
      </c>
      <c r="B107" s="11" t="s">
        <v>114</v>
      </c>
      <c r="C107" s="12"/>
      <c r="D107" s="12"/>
      <c r="E107" s="12"/>
      <c r="F107" s="12"/>
      <c r="G107" s="12"/>
      <c r="H107" s="12"/>
      <c r="I107" s="12"/>
      <c r="J107" s="12"/>
    </row>
    <row r="108" customFormat="false" ht="15" hidden="false" customHeight="false" outlineLevel="0" collapsed="false">
      <c r="A108" s="20" t="s">
        <v>83</v>
      </c>
      <c r="B108" s="20" t="s">
        <v>115</v>
      </c>
      <c r="C108" s="21" t="s">
        <v>116</v>
      </c>
      <c r="D108" s="25" t="n">
        <f aca="false">Financials!D133/Financials!D151</f>
        <v>0.593855693348365</v>
      </c>
      <c r="E108" s="25" t="n">
        <f aca="false">Financials!E133/Financials!E151</f>
        <v>0.96989835809226</v>
      </c>
      <c r="F108" s="25" t="n">
        <f aca="false">Financials!F133/Financials!F151</f>
        <v>0.84804753820034</v>
      </c>
      <c r="G108" s="25" t="n">
        <f aca="false">Financials!G133/Financials!G151</f>
        <v>0.523978685612789</v>
      </c>
      <c r="H108" s="25" t="n">
        <f aca="false">Financials!H133/Financials!H151</f>
        <v>0.286271808999082</v>
      </c>
      <c r="I108" s="25" t="n">
        <f aca="false">Financials!I133/Financials!I151</f>
        <v>0.27027027027027</v>
      </c>
      <c r="J108" s="26" t="n">
        <f aca="false">AVERAGE(E108:I108)</f>
        <v>0.579693332234948</v>
      </c>
    </row>
    <row r="109" customFormat="false" ht="15" hidden="false" customHeight="false" outlineLevel="0" collapsed="false">
      <c r="A109" s="20" t="s">
        <v>83</v>
      </c>
      <c r="B109" s="20" t="s">
        <v>117</v>
      </c>
      <c r="C109" s="21" t="s">
        <v>118</v>
      </c>
      <c r="D109" s="25" t="n">
        <f aca="false">IFERROR(Financials!D152/Financials!D124,0)</f>
        <v>23.6486486486487</v>
      </c>
      <c r="E109" s="25" t="n">
        <f aca="false">IFERROR(Financials!E152/Financials!E124,0)</f>
        <v>15.4305555555556</v>
      </c>
      <c r="F109" s="25" t="n">
        <f aca="false">IFERROR(Financials!F152/Financials!F124,0)</f>
        <v>18.9467455621302</v>
      </c>
      <c r="G109" s="25" t="n">
        <f aca="false">IFERROR(Financials!G152/Financials!G124,0)</f>
        <v>18.7621951219512</v>
      </c>
      <c r="H109" s="25" t="n">
        <f aca="false">IFERROR(Financials!H152/Financials!H124,0)</f>
        <v>22.0575539568345</v>
      </c>
      <c r="I109" s="25" t="n">
        <f aca="false">IFERROR(Financials!I152/Financials!I124,0)</f>
        <v>30.1061946902655</v>
      </c>
      <c r="J109" s="26" t="n">
        <f aca="false">AVERAGE(E109:I109)</f>
        <v>21.0606489773474</v>
      </c>
    </row>
    <row r="110" customFormat="false" ht="15" hidden="false" customHeight="false" outlineLevel="0" collapsed="false">
      <c r="A110" s="19" t="s">
        <v>83</v>
      </c>
      <c r="B110" s="11" t="s">
        <v>119</v>
      </c>
      <c r="C110" s="12"/>
      <c r="D110" s="12"/>
      <c r="E110" s="12"/>
      <c r="F110" s="12"/>
      <c r="G110" s="12"/>
      <c r="H110" s="12"/>
      <c r="I110" s="12"/>
      <c r="J110" s="12"/>
    </row>
    <row r="111" customFormat="false" ht="15" hidden="false" customHeight="false" outlineLevel="0" collapsed="false">
      <c r="A111" s="20" t="s">
        <v>83</v>
      </c>
      <c r="B111" s="20" t="s">
        <v>120</v>
      </c>
      <c r="C111" s="21" t="s">
        <v>121</v>
      </c>
      <c r="D111" s="25" t="n">
        <f aca="false">Financials!D142/Financials!D127</f>
        <v>1</v>
      </c>
      <c r="E111" s="25" t="n">
        <f aca="false">Financials!E142/Financials!E127</f>
        <v>0.857519788918206</v>
      </c>
      <c r="F111" s="25" t="n">
        <f aca="false">Financials!F142/Financials!F127</f>
        <v>1.09067357512953</v>
      </c>
      <c r="G111" s="25" t="n">
        <f aca="false">Financials!G142/Financials!G127</f>
        <v>1.20571696344892</v>
      </c>
      <c r="H111" s="25" t="n">
        <f aca="false">Financials!H142/Financials!H127</f>
        <v>1.14370982552801</v>
      </c>
      <c r="I111" s="25" t="n">
        <f aca="false">Financials!I142/Financials!I127</f>
        <v>1.0295624753646</v>
      </c>
      <c r="J111" s="26" t="n">
        <f aca="false">AVERAGE(E111:I111)</f>
        <v>1.06543652567785</v>
      </c>
    </row>
    <row r="112" customFormat="false" ht="15" hidden="false" customHeight="false" outlineLevel="0" collapsed="false">
      <c r="A112" s="20" t="s">
        <v>83</v>
      </c>
      <c r="B112" s="20" t="s">
        <v>122</v>
      </c>
      <c r="C112" s="21" t="s">
        <v>123</v>
      </c>
      <c r="D112" s="23" t="n">
        <f aca="false">Financials!D145/Financials!D120</f>
        <v>0.122640073081608</v>
      </c>
      <c r="E112" s="23" t="n">
        <f aca="false">Financials!E145/Financials!E120</f>
        <v>0.0531975099037917</v>
      </c>
      <c r="F112" s="23" t="n">
        <f aca="false">Financials!F145/Financials!F120</f>
        <v>0.11612784491749</v>
      </c>
      <c r="G112" s="23" t="n">
        <f aca="false">Financials!G145/Financials!G120</f>
        <v>0.124336573439084</v>
      </c>
      <c r="H112" s="23" t="n">
        <f aca="false">Financials!H145/Financials!H120</f>
        <v>0.118151925541994</v>
      </c>
      <c r="I112" s="23" t="n">
        <f aca="false">Financials!I145/Financials!I120</f>
        <v>0.125730994152047</v>
      </c>
      <c r="J112" s="24" t="n">
        <f aca="false">AVERAGE(E112:I112)</f>
        <v>0.107508969590881</v>
      </c>
    </row>
    <row r="113" customFormat="false" ht="15" hidden="false" customHeight="false" outlineLevel="0" collapsed="false">
      <c r="A113" s="20" t="s">
        <v>83</v>
      </c>
      <c r="B113" s="20" t="s">
        <v>124</v>
      </c>
      <c r="C113" s="21" t="s">
        <v>110</v>
      </c>
      <c r="D113" s="30" t="n">
        <f aca="false">Financials!D129</f>
        <v>2.04</v>
      </c>
      <c r="E113" s="30" t="n">
        <f aca="false">Financials!E129</f>
        <v>0.89</v>
      </c>
      <c r="F113" s="30" t="n">
        <f aca="false">Financials!F129</f>
        <v>0.75</v>
      </c>
      <c r="G113" s="30" t="n">
        <f aca="false">Financials!G129</f>
        <v>0.83</v>
      </c>
      <c r="H113" s="30" t="n">
        <f aca="false">Financials!H129</f>
        <v>0.83</v>
      </c>
      <c r="I113" s="30" t="n">
        <f aca="false">Financials!I129</f>
        <v>0.86</v>
      </c>
      <c r="J113" s="24" t="n">
        <f aca="false">AVERAGE(E113:I113)</f>
        <v>0.832</v>
      </c>
    </row>
    <row r="114" customFormat="false" ht="15" hidden="false" customHeight="false" outlineLevel="0" collapsed="false">
      <c r="A114" s="19" t="s">
        <v>83</v>
      </c>
      <c r="B114" s="11" t="s">
        <v>125</v>
      </c>
      <c r="C114" s="12"/>
      <c r="D114" s="12"/>
      <c r="E114" s="12"/>
      <c r="F114" s="12"/>
      <c r="G114" s="12"/>
      <c r="H114" s="12"/>
      <c r="I114" s="12"/>
      <c r="J114" s="12"/>
    </row>
    <row r="115" customFormat="false" ht="15" hidden="false" customHeight="false" outlineLevel="0" collapsed="false">
      <c r="A115" s="20" t="s">
        <v>83</v>
      </c>
      <c r="B115" s="20" t="s">
        <v>99</v>
      </c>
      <c r="C115" s="21" t="s">
        <v>100</v>
      </c>
      <c r="D115" s="23" t="n">
        <f aca="false">Financials!D127/Financials!D120</f>
        <v>0.140910475030451</v>
      </c>
      <c r="E115" s="23" t="n">
        <f aca="false">Financials!E127/Financials!E120</f>
        <v>0.107243916242218</v>
      </c>
      <c r="F115" s="23" t="n">
        <f aca="false">Financials!F127/Financials!F120</f>
        <v>0.14207717317956</v>
      </c>
      <c r="G115" s="23" t="n">
        <f aca="false">Financials!G127/Financials!G120</f>
        <v>0.127258631999523</v>
      </c>
      <c r="H115" s="23" t="n">
        <f aca="false">Financials!H127/Financials!H120</f>
        <v>0.121384383882294</v>
      </c>
      <c r="I115" s="23" t="n">
        <f aca="false">Financials!I127/Financials!I120</f>
        <v>0.132466583124478</v>
      </c>
      <c r="J115" s="24" t="n">
        <f aca="false">AVERAGE(E115:I115)</f>
        <v>0.126086137685615</v>
      </c>
    </row>
    <row r="116" customFormat="false" ht="15" hidden="false" customHeight="false" outlineLevel="0" collapsed="false">
      <c r="A116" s="20" t="s">
        <v>83</v>
      </c>
      <c r="B116" s="20" t="s">
        <v>126</v>
      </c>
      <c r="C116" s="21" t="s">
        <v>109</v>
      </c>
      <c r="D116" s="22" t="s">
        <v>93</v>
      </c>
      <c r="E116" s="25" t="n">
        <f aca="false">Financials!E120/((Financials!E140+Financials!D140)/2)</f>
        <v>1.82082823468796</v>
      </c>
      <c r="F116" s="25" t="n">
        <f aca="false">Financials!F120/((Financials!F140+Financials!E140)/2)</f>
        <v>1.93185589002133</v>
      </c>
      <c r="G116" s="25" t="n">
        <f aca="false">Financials!G120/((Financials!G140+Financials!F140)/2)</f>
        <v>1.82054065790902</v>
      </c>
      <c r="H116" s="25" t="n">
        <f aca="false">Financials!H120/((Financials!H140+Financials!G140)/2)</f>
        <v>2.00390886754523</v>
      </c>
      <c r="I116" s="25" t="n">
        <f aca="false">Financials!I120/((Financials!I140+Financials!H140)/2)</f>
        <v>2.0630150266602</v>
      </c>
      <c r="J116" s="26" t="n">
        <f aca="false">AVERAGE(E116:I116)</f>
        <v>1.92802973536475</v>
      </c>
    </row>
    <row r="117" customFormat="false" ht="15" hidden="false" customHeight="false" outlineLevel="0" collapsed="false">
      <c r="A117" s="20" t="s">
        <v>83</v>
      </c>
      <c r="B117" s="20" t="s">
        <v>127</v>
      </c>
      <c r="C117" s="21" t="s">
        <v>128</v>
      </c>
      <c r="D117" s="22" t="s">
        <v>93</v>
      </c>
      <c r="E117" s="25" t="n">
        <f aca="false">((Financials!E140+Financials!D140)/2)/((Financials!E151+Financials!D151)/2)</f>
        <v>2.54290861447756</v>
      </c>
      <c r="F117" s="25" t="n">
        <f aca="false">((Financials!F140+Financials!E140)/2)/((Financials!F151+Financials!E151)/2)</f>
        <v>2.77019041365726</v>
      </c>
      <c r="G117" s="25" t="n">
        <f aca="false">((Financials!G140+Financials!F140)/2)/((Financials!G151+Financials!F151)/2)</f>
        <v>2.46448160535117</v>
      </c>
      <c r="H117" s="25" t="n">
        <f aca="false">((Financials!H140+Financials!G140)/2)/((Financials!H151+Financials!G151)/2)</f>
        <v>2.15837049535977</v>
      </c>
      <c r="I117" s="25" t="n">
        <f aca="false">((Financials!I140+Financials!H140)/2)/((Financials!I151+Financials!H151)/2)</f>
        <v>1.96227013316424</v>
      </c>
      <c r="J117" s="26" t="n">
        <f aca="false">AVERAGE(E117:I117)</f>
        <v>2.379644252402</v>
      </c>
    </row>
    <row r="118" customFormat="false" ht="15" hidden="false" customHeight="false" outlineLevel="0" collapsed="false">
      <c r="A118" s="20" t="s">
        <v>83</v>
      </c>
      <c r="B118" s="20" t="s">
        <v>129</v>
      </c>
      <c r="C118" s="21" t="s">
        <v>130</v>
      </c>
      <c r="D118" s="22" t="s">
        <v>93</v>
      </c>
      <c r="E118" s="23" t="n">
        <f aca="false">E115*E116*E117</f>
        <v>0.496560759908287</v>
      </c>
      <c r="F118" s="23" t="n">
        <f aca="false">F115*F116*F117</f>
        <v>0.760341431385424</v>
      </c>
      <c r="G118" s="23" t="n">
        <f aca="false">G115*G116*G117</f>
        <v>0.570969899665552</v>
      </c>
      <c r="H118" s="23" t="n">
        <f aca="false">H115*H116*H117</f>
        <v>0.525009039411836</v>
      </c>
      <c r="I118" s="23" t="n">
        <f aca="false">I115*I116*I117</f>
        <v>0.536250264214754</v>
      </c>
      <c r="J118" s="24" t="n">
        <f aca="false">AVERAGE(E118:I118)</f>
        <v>0.57782627891717</v>
      </c>
    </row>
    <row r="120" customFormat="false" ht="15" hidden="false" customHeight="false" outlineLevel="0" collapsed="false">
      <c r="A120" s="8" t="s">
        <v>84</v>
      </c>
      <c r="B120" s="8" t="s">
        <v>87</v>
      </c>
      <c r="C120" s="8" t="s">
        <v>88</v>
      </c>
      <c r="D120" s="9" t="s">
        <v>39</v>
      </c>
      <c r="E120" s="9" t="s">
        <v>40</v>
      </c>
      <c r="F120" s="9" t="s">
        <v>41</v>
      </c>
      <c r="G120" s="9" t="s">
        <v>42</v>
      </c>
      <c r="H120" s="9" t="s">
        <v>43</v>
      </c>
      <c r="I120" s="9" t="s">
        <v>44</v>
      </c>
      <c r="J120" s="9" t="s">
        <v>89</v>
      </c>
    </row>
    <row r="121" customFormat="false" ht="15" hidden="false" customHeight="false" outlineLevel="0" collapsed="false">
      <c r="A121" s="19" t="s">
        <v>84</v>
      </c>
      <c r="B121" s="11" t="s">
        <v>90</v>
      </c>
      <c r="C121" s="12"/>
      <c r="D121" s="12"/>
      <c r="E121" s="12"/>
      <c r="F121" s="12"/>
      <c r="G121" s="12"/>
      <c r="H121" s="12"/>
      <c r="I121" s="12"/>
      <c r="J121" s="12"/>
    </row>
    <row r="122" customFormat="false" ht="15" hidden="false" customHeight="false" outlineLevel="0" collapsed="false">
      <c r="A122" s="20" t="s">
        <v>84</v>
      </c>
      <c r="B122" s="20" t="s">
        <v>91</v>
      </c>
      <c r="C122" s="21" t="s">
        <v>92</v>
      </c>
      <c r="D122" s="22" t="s">
        <v>93</v>
      </c>
      <c r="E122" s="23" t="n">
        <f aca="false">Financials!E158/Financials!D158-1</f>
        <v>0.181908548707753</v>
      </c>
      <c r="F122" s="23" t="n">
        <f aca="false">Financials!F158/Financials!E158-1</f>
        <v>0.0264928511354079</v>
      </c>
      <c r="G122" s="23" t="n">
        <f aca="false">Financials!G158/Financials!F158-1</f>
        <v>-0.0113682916837362</v>
      </c>
      <c r="H122" s="23" t="n">
        <f aca="false">Financials!H158/Financials!G158-1</f>
        <v>0.122034600642287</v>
      </c>
      <c r="I122" s="23" t="n">
        <f aca="false">Financials!I158/Financials!H158-1</f>
        <v>0.256670667528391</v>
      </c>
      <c r="J122" s="24" t="n">
        <f aca="false">AVERAGE(E122:I122)</f>
        <v>0.115147675266021</v>
      </c>
    </row>
    <row r="123" customFormat="false" ht="15" hidden="false" customHeight="false" outlineLevel="0" collapsed="false">
      <c r="A123" s="20" t="s">
        <v>84</v>
      </c>
      <c r="B123" s="20" t="s">
        <v>94</v>
      </c>
      <c r="C123" s="21" t="s">
        <v>95</v>
      </c>
      <c r="D123" s="22" t="s">
        <v>93</v>
      </c>
      <c r="E123" s="23" t="n">
        <f aca="false">Financials!E165/Financials!D165-1</f>
        <v>0.0467055879899916</v>
      </c>
      <c r="F123" s="23" t="n">
        <f aca="false">Financials!F165/Financials!E165-1</f>
        <v>0.0533864541832669</v>
      </c>
      <c r="G123" s="23" t="n">
        <f aca="false">Financials!G165/Financials!F165-1</f>
        <v>0.136157337367625</v>
      </c>
      <c r="H123" s="23" t="n">
        <f aca="false">Financials!H165/Financials!G165-1</f>
        <v>0.103861517976032</v>
      </c>
      <c r="I123" s="23" t="n">
        <f aca="false">Financials!I165/Financials!H165-1</f>
        <v>0.0934861278648975</v>
      </c>
      <c r="J123" s="24" t="n">
        <f aca="false">AVERAGE(E123:I123)</f>
        <v>0.0867194050763626</v>
      </c>
    </row>
    <row r="124" customFormat="false" ht="15" hidden="false" customHeight="false" outlineLevel="0" collapsed="false">
      <c r="A124" s="19" t="s">
        <v>84</v>
      </c>
      <c r="B124" s="11" t="s">
        <v>96</v>
      </c>
      <c r="C124" s="12"/>
      <c r="D124" s="12"/>
      <c r="E124" s="12"/>
      <c r="F124" s="12"/>
      <c r="G124" s="12"/>
      <c r="H124" s="12"/>
      <c r="I124" s="12"/>
      <c r="J124" s="12"/>
    </row>
    <row r="125" customFormat="false" ht="15" hidden="false" customHeight="false" outlineLevel="0" collapsed="false">
      <c r="A125" s="20" t="s">
        <v>84</v>
      </c>
      <c r="B125" s="20" t="s">
        <v>97</v>
      </c>
      <c r="C125" s="21" t="s">
        <v>98</v>
      </c>
      <c r="D125" s="23" t="n">
        <f aca="false">Financials!D160/Financials!D158</f>
        <v>0.197440357852883</v>
      </c>
      <c r="E125" s="23" t="n">
        <f aca="false">Financials!E160/Financials!E158</f>
        <v>0.176724137931034</v>
      </c>
      <c r="F125" s="23" t="n">
        <f aca="false">Financials!F160/Financials!F158</f>
        <v>0.185374846374437</v>
      </c>
      <c r="G125" s="23" t="n">
        <f aca="false">Financials!G160/Financials!G158</f>
        <v>0.209882937946752</v>
      </c>
      <c r="H125" s="23" t="n">
        <f aca="false">Financials!H160/Financials!H158</f>
        <v>0.197488689871665</v>
      </c>
      <c r="I125" s="23" t="n">
        <f aca="false">Financials!I160/Financials!I158</f>
        <v>0.171038130923518</v>
      </c>
      <c r="J125" s="24" t="n">
        <f aca="false">AVERAGE(E125:I125)</f>
        <v>0.188101748609481</v>
      </c>
    </row>
    <row r="126" customFormat="false" ht="15" hidden="false" customHeight="false" outlineLevel="0" collapsed="false">
      <c r="A126" s="20" t="s">
        <v>84</v>
      </c>
      <c r="B126" s="20" t="s">
        <v>99</v>
      </c>
      <c r="C126" s="21" t="s">
        <v>100</v>
      </c>
      <c r="D126" s="23" t="n">
        <f aca="false">Financials!D165/Financials!D158</f>
        <v>0.14898111332008</v>
      </c>
      <c r="E126" s="23" t="n">
        <f aca="false">Financials!E165/Financials!E158</f>
        <v>0.131938603868797</v>
      </c>
      <c r="F126" s="23" t="n">
        <f aca="false">Financials!F165/Financials!F158</f>
        <v>0.135395329782876</v>
      </c>
      <c r="G126" s="23" t="n">
        <f aca="false">Financials!G165/Financials!G158</f>
        <v>0.155599295555786</v>
      </c>
      <c r="H126" s="23" t="n">
        <f aca="false">Financials!H165/Financials!H158</f>
        <v>0.153079124734558</v>
      </c>
      <c r="I126" s="23" t="n">
        <f aca="false">Financials!I165/Financials!I158</f>
        <v>0.133201087355815</v>
      </c>
      <c r="J126" s="24" t="n">
        <f aca="false">AVERAGE(E126:I126)</f>
        <v>0.141842688259566</v>
      </c>
    </row>
    <row r="127" customFormat="false" ht="15" hidden="false" customHeight="false" outlineLevel="0" collapsed="false">
      <c r="A127" s="20" t="s">
        <v>84</v>
      </c>
      <c r="B127" s="20" t="s">
        <v>101</v>
      </c>
      <c r="C127" s="21" t="s">
        <v>102</v>
      </c>
      <c r="D127" s="22" t="s">
        <v>93</v>
      </c>
      <c r="E127" s="23" t="n">
        <f aca="false">Financials!E165/((Financials!E189+Financials!D189)/2)</f>
        <v>0.380995749848209</v>
      </c>
      <c r="F127" s="23" t="n">
        <f aca="false">Financials!F165/((Financials!F189+Financials!E189)/2)</f>
        <v>0.369945431649643</v>
      </c>
      <c r="G127" s="23" t="n">
        <f aca="false">Financials!G165/((Financials!G189+Financials!F189)/2)</f>
        <v>0.393657449875508</v>
      </c>
      <c r="H127" s="23" t="n">
        <f aca="false">Financials!H165/((Financials!H189+Financials!G189)/2)</f>
        <v>0.42474702190342</v>
      </c>
      <c r="I127" s="23" t="n">
        <f aca="false">Financials!I165/((Financials!I189+Financials!H189)/2)</f>
        <v>0.443005497861943</v>
      </c>
      <c r="J127" s="24" t="n">
        <f aca="false">AVERAGE(E127:I127)</f>
        <v>0.402470230227745</v>
      </c>
    </row>
    <row r="128" customFormat="false" ht="15" hidden="false" customHeight="false" outlineLevel="0" collapsed="false">
      <c r="A128" s="20" t="s">
        <v>84</v>
      </c>
      <c r="B128" s="20" t="s">
        <v>103</v>
      </c>
      <c r="C128" s="21" t="s">
        <v>104</v>
      </c>
      <c r="D128" s="22" t="s">
        <v>93</v>
      </c>
      <c r="E128" s="23" t="n">
        <f aca="false">Financials!E190/((Financials!E191+Financials!D191)/2)</f>
        <v>0.432831881762998</v>
      </c>
      <c r="F128" s="23" t="n">
        <f aca="false">Financials!F190/((Financials!F191+Financials!E191)/2)</f>
        <v>0.436968666504737</v>
      </c>
      <c r="G128" s="23" t="n">
        <f aca="false">Financials!G190/((Financials!G191+Financials!F191)/2)</f>
        <v>0.458537698186381</v>
      </c>
      <c r="H128" s="23" t="n">
        <f aca="false">Financials!H190/((Financials!H191+Financials!G191)/2)</f>
        <v>0.488018899763753</v>
      </c>
      <c r="I128" s="23" t="n">
        <f aca="false">Financials!I190/((Financials!I191+Financials!H191)/2)</f>
        <v>0.501290877796902</v>
      </c>
      <c r="J128" s="24" t="n">
        <f aca="false">AVERAGE(E128:I128)</f>
        <v>0.463529604802954</v>
      </c>
    </row>
    <row r="129" customFormat="false" ht="15" hidden="false" customHeight="false" outlineLevel="0" collapsed="false">
      <c r="A129" s="20" t="s">
        <v>84</v>
      </c>
      <c r="B129" s="20" t="s">
        <v>105</v>
      </c>
      <c r="C129" s="21" t="s">
        <v>106</v>
      </c>
      <c r="D129" s="22" t="s">
        <v>93</v>
      </c>
      <c r="E129" s="23" t="n">
        <f aca="false">Financials!E165/((Financials!E178+Financials!D178)/2)</f>
        <v>0.226065027470053</v>
      </c>
      <c r="F129" s="23" t="n">
        <f aca="false">Financials!F165/((Financials!F178+Financials!E178)/2)</f>
        <v>0.211909914242206</v>
      </c>
      <c r="G129" s="23" t="n">
        <f aca="false">Financials!G165/((Financials!G178+Financials!F178)/2)</f>
        <v>0.212251819402247</v>
      </c>
      <c r="H129" s="23" t="n">
        <f aca="false">Financials!H165/((Financials!H178+Financials!G178)/2)</f>
        <v>0.212183260813924</v>
      </c>
      <c r="I129" s="23" t="n">
        <f aca="false">Financials!I165/((Financials!I178+Financials!H178)/2)</f>
        <v>0.198957475994513</v>
      </c>
      <c r="J129" s="24" t="n">
        <f aca="false">AVERAGE(E129:I129)</f>
        <v>0.212273499584588</v>
      </c>
    </row>
    <row r="130" customFormat="false" ht="15" hidden="false" customHeight="false" outlineLevel="0" collapsed="false">
      <c r="A130" s="19" t="s">
        <v>84</v>
      </c>
      <c r="B130" s="11" t="s">
        <v>107</v>
      </c>
      <c r="C130" s="12"/>
      <c r="D130" s="12"/>
      <c r="E130" s="12"/>
      <c r="F130" s="12"/>
      <c r="G130" s="12"/>
      <c r="H130" s="12"/>
      <c r="I130" s="12"/>
      <c r="J130" s="12"/>
    </row>
    <row r="131" customFormat="false" ht="15" hidden="false" customHeight="false" outlineLevel="0" collapsed="false">
      <c r="A131" s="20" t="s">
        <v>84</v>
      </c>
      <c r="B131" s="20" t="s">
        <v>108</v>
      </c>
      <c r="C131" s="21" t="s">
        <v>109</v>
      </c>
      <c r="D131" s="22" t="s">
        <v>93</v>
      </c>
      <c r="E131" s="25" t="n">
        <f aca="false">Financials!E158/((Financials!E178+Financials!D178)/2)</f>
        <v>1.71341078987661</v>
      </c>
      <c r="F131" s="25" t="n">
        <f aca="false">Financials!F158/((Financials!F178+Financials!E178)/2)</f>
        <v>1.56511982046966</v>
      </c>
      <c r="G131" s="25" t="n">
        <f aca="false">Financials!G158/((Financials!G178+Financials!F178)/2)</f>
        <v>1.3640924185685</v>
      </c>
      <c r="H131" s="25" t="n">
        <f aca="false">Financials!H158/((Financials!H178+Financials!G178)/2)</f>
        <v>1.38610186844126</v>
      </c>
      <c r="I131" s="25" t="n">
        <f aca="false">Financials!I158/((Financials!I178+Financials!H178)/2)</f>
        <v>1.49366255144033</v>
      </c>
      <c r="J131" s="26" t="n">
        <f aca="false">AVERAGE(E131:I131)</f>
        <v>1.50447748975927</v>
      </c>
    </row>
    <row r="132" customFormat="false" ht="15" hidden="false" customHeight="false" outlineLevel="0" collapsed="false">
      <c r="A132" s="20" t="s">
        <v>84</v>
      </c>
      <c r="B132" s="20" t="s">
        <v>73</v>
      </c>
      <c r="C132" s="21" t="s">
        <v>110</v>
      </c>
      <c r="D132" s="27" t="n">
        <f aca="false">Financials!D185</f>
        <v>18</v>
      </c>
      <c r="E132" s="27" t="n">
        <f aca="false">Financials!E185</f>
        <v>25</v>
      </c>
      <c r="F132" s="27" t="n">
        <f aca="false">Financials!F185</f>
        <v>38</v>
      </c>
      <c r="G132" s="27" t="n">
        <f aca="false">Financials!G185</f>
        <v>40</v>
      </c>
      <c r="H132" s="27" t="n">
        <f aca="false">Financials!H185</f>
        <v>43</v>
      </c>
      <c r="I132" s="27" t="n">
        <f aca="false">Financials!I185</f>
        <v>35</v>
      </c>
      <c r="J132" s="28" t="n">
        <f aca="false">AVERAGE(E132:I132)</f>
        <v>36.2</v>
      </c>
    </row>
    <row r="133" customFormat="false" ht="15" hidden="false" customHeight="false" outlineLevel="0" collapsed="false">
      <c r="A133" s="20" t="s">
        <v>84</v>
      </c>
      <c r="B133" s="20" t="s">
        <v>74</v>
      </c>
      <c r="C133" s="21" t="s">
        <v>110</v>
      </c>
      <c r="D133" s="27" t="n">
        <f aca="false">Financials!D186</f>
        <v>108</v>
      </c>
      <c r="E133" s="27" t="n">
        <f aca="false">Financials!E186</f>
        <v>106</v>
      </c>
      <c r="F133" s="27" t="n">
        <f aca="false">Financials!F186</f>
        <v>94</v>
      </c>
      <c r="G133" s="27" t="n">
        <f aca="false">Financials!G186</f>
        <v>116</v>
      </c>
      <c r="H133" s="27" t="n">
        <f aca="false">Financials!H186</f>
        <v>93</v>
      </c>
      <c r="I133" s="27" t="n">
        <f aca="false">Financials!I186</f>
        <v>85</v>
      </c>
      <c r="J133" s="28" t="n">
        <f aca="false">AVERAGE(E133:I133)</f>
        <v>98.8</v>
      </c>
    </row>
    <row r="134" customFormat="false" ht="15" hidden="false" customHeight="false" outlineLevel="0" collapsed="false">
      <c r="A134" s="20" t="s">
        <v>84</v>
      </c>
      <c r="B134" s="20" t="s">
        <v>111</v>
      </c>
      <c r="C134" s="21" t="s">
        <v>110</v>
      </c>
      <c r="D134" s="27" t="n">
        <f aca="false">Financials!D187</f>
        <v>109</v>
      </c>
      <c r="E134" s="27" t="n">
        <f aca="false">Financials!E187</f>
        <v>101</v>
      </c>
      <c r="F134" s="27" t="n">
        <f aca="false">Financials!F187</f>
        <v>112</v>
      </c>
      <c r="G134" s="27" t="n">
        <f aca="false">Financials!G187</f>
        <v>137</v>
      </c>
      <c r="H134" s="27" t="n">
        <f aca="false">Financials!H187</f>
        <v>103</v>
      </c>
      <c r="I134" s="27" t="n">
        <f aca="false">Financials!I187</f>
        <v>108</v>
      </c>
      <c r="J134" s="28" t="n">
        <f aca="false">AVERAGE(E134:I134)</f>
        <v>112.2</v>
      </c>
    </row>
    <row r="135" customFormat="false" ht="15" hidden="false" customHeight="false" outlineLevel="0" collapsed="false">
      <c r="A135" s="20" t="s">
        <v>84</v>
      </c>
      <c r="B135" s="20" t="s">
        <v>112</v>
      </c>
      <c r="C135" s="21" t="s">
        <v>113</v>
      </c>
      <c r="D135" s="29" t="n">
        <f aca="false">D132+D133-D134</f>
        <v>17</v>
      </c>
      <c r="E135" s="29" t="n">
        <f aca="false">E132+E133-E134</f>
        <v>30</v>
      </c>
      <c r="F135" s="29" t="n">
        <f aca="false">F132+F133-F134</f>
        <v>20</v>
      </c>
      <c r="G135" s="29" t="n">
        <f aca="false">G132+G133-G134</f>
        <v>19</v>
      </c>
      <c r="H135" s="29" t="n">
        <f aca="false">H132+H133-H134</f>
        <v>33</v>
      </c>
      <c r="I135" s="29" t="n">
        <f aca="false">I132+I133-I134</f>
        <v>12</v>
      </c>
      <c r="J135" s="28" t="n">
        <f aca="false">AVERAGE(E135:I135)</f>
        <v>22.8</v>
      </c>
    </row>
    <row r="136" customFormat="false" ht="15" hidden="false" customHeight="false" outlineLevel="0" collapsed="false">
      <c r="A136" s="19" t="s">
        <v>84</v>
      </c>
      <c r="B136" s="11" t="s">
        <v>114</v>
      </c>
      <c r="C136" s="12"/>
      <c r="D136" s="12"/>
      <c r="E136" s="12"/>
      <c r="F136" s="12"/>
      <c r="G136" s="12"/>
      <c r="H136" s="12"/>
      <c r="I136" s="12"/>
      <c r="J136" s="12"/>
    </row>
    <row r="137" customFormat="false" ht="15" hidden="false" customHeight="false" outlineLevel="0" collapsed="false">
      <c r="A137" s="20" t="s">
        <v>84</v>
      </c>
      <c r="B137" s="20" t="s">
        <v>115</v>
      </c>
      <c r="C137" s="21" t="s">
        <v>116</v>
      </c>
      <c r="D137" s="25" t="n">
        <f aca="false">Financials!D171/Financials!D189</f>
        <v>0.157716049382716</v>
      </c>
      <c r="E137" s="25" t="n">
        <f aca="false">Financials!E171/Financials!E189</f>
        <v>0.143070489844683</v>
      </c>
      <c r="F137" s="25" t="n">
        <f aca="false">Financials!F171/Financials!F189</f>
        <v>0.160042116346407</v>
      </c>
      <c r="G137" s="25" t="n">
        <f aca="false">Financials!G171/Financials!G189</f>
        <v>0.137787056367432</v>
      </c>
      <c r="H137" s="25" t="n">
        <f aca="false">Financials!H171/Financials!H189</f>
        <v>0.13937106918239</v>
      </c>
      <c r="I137" s="25" t="n">
        <f aca="false">Financials!I171/Financials!I189</f>
        <v>0.132304038004751</v>
      </c>
      <c r="J137" s="26" t="n">
        <f aca="false">AVERAGE(E137:I137)</f>
        <v>0.142514953949133</v>
      </c>
    </row>
    <row r="138" customFormat="false" ht="15" hidden="false" customHeight="false" outlineLevel="0" collapsed="false">
      <c r="A138" s="20" t="s">
        <v>84</v>
      </c>
      <c r="B138" s="20" t="s">
        <v>117</v>
      </c>
      <c r="C138" s="21" t="s">
        <v>118</v>
      </c>
      <c r="D138" s="25" t="n">
        <f aca="false">IFERROR(Financials!D190/Financials!D162,0)</f>
        <v>45.7941176470588</v>
      </c>
      <c r="E138" s="25" t="n">
        <f aca="false">IFERROR(Financials!E190/Financials!E162,0)</f>
        <v>42.0512820512821</v>
      </c>
      <c r="F138" s="25" t="n">
        <f aca="false">IFERROR(Financials!F190/Financials!F162,0)</f>
        <v>32.125</v>
      </c>
      <c r="G138" s="25" t="n">
        <f aca="false">IFERROR(Financials!G190/Financials!G162,0)</f>
        <v>27.5342465753425</v>
      </c>
      <c r="H138" s="25" t="n">
        <f aca="false">IFERROR(Financials!H190/Financials!H162,0)</f>
        <v>40.9245283018868</v>
      </c>
      <c r="I138" s="25" t="n">
        <f aca="false">IFERROR(Financials!I190/Financials!I162,0)</f>
        <v>43.9622641509434</v>
      </c>
      <c r="J138" s="26" t="n">
        <f aca="false">AVERAGE(E138:I138)</f>
        <v>37.3194642158909</v>
      </c>
    </row>
    <row r="139" customFormat="false" ht="15" hidden="false" customHeight="false" outlineLevel="0" collapsed="false">
      <c r="A139" s="19" t="s">
        <v>84</v>
      </c>
      <c r="B139" s="11" t="s">
        <v>119</v>
      </c>
      <c r="C139" s="12"/>
      <c r="D139" s="12"/>
      <c r="E139" s="12"/>
      <c r="F139" s="12"/>
      <c r="G139" s="12"/>
      <c r="H139" s="12"/>
      <c r="I139" s="12"/>
      <c r="J139" s="12"/>
    </row>
    <row r="140" customFormat="false" ht="15" hidden="false" customHeight="false" outlineLevel="0" collapsed="false">
      <c r="A140" s="20" t="s">
        <v>84</v>
      </c>
      <c r="B140" s="20" t="s">
        <v>120</v>
      </c>
      <c r="C140" s="21" t="s">
        <v>121</v>
      </c>
      <c r="D140" s="25" t="n">
        <f aca="false">Financials!D180/Financials!D165</f>
        <v>1.67389491242702</v>
      </c>
      <c r="E140" s="25" t="n">
        <f aca="false">Financials!E180/Financials!E165</f>
        <v>0.809561752988048</v>
      </c>
      <c r="F140" s="25" t="n">
        <f aca="false">Financials!F180/Financials!F165</f>
        <v>1.07337367624811</v>
      </c>
      <c r="G140" s="25" t="n">
        <f aca="false">Financials!G180/Financials!G165</f>
        <v>0.923435419440746</v>
      </c>
      <c r="H140" s="25" t="n">
        <f aca="false">Financials!H180/Financials!H165</f>
        <v>0.822074788902292</v>
      </c>
      <c r="I140" s="25" t="n">
        <f aca="false">Financials!I180/Financials!I165</f>
        <v>1.14947600661886</v>
      </c>
      <c r="J140" s="26" t="n">
        <f aca="false">AVERAGE(E140:I140)</f>
        <v>0.955584328839612</v>
      </c>
    </row>
    <row r="141" customFormat="false" ht="15" hidden="false" customHeight="false" outlineLevel="0" collapsed="false">
      <c r="A141" s="20" t="s">
        <v>84</v>
      </c>
      <c r="B141" s="20" t="s">
        <v>122</v>
      </c>
      <c r="C141" s="21" t="s">
        <v>123</v>
      </c>
      <c r="D141" s="23" t="n">
        <f aca="false">Financials!D183/Financials!D158</f>
        <v>0.232355864811133</v>
      </c>
      <c r="E141" s="23" t="n">
        <f aca="false">Financials!E183/Financials!E158</f>
        <v>0.0929352396972246</v>
      </c>
      <c r="F141" s="23" t="n">
        <f aca="false">Financials!F183/Financials!F158</f>
        <v>0.126689881196231</v>
      </c>
      <c r="G141" s="23" t="n">
        <f aca="false">Financials!G183/Financials!G158</f>
        <v>0.127835905935978</v>
      </c>
      <c r="H141" s="23" t="n">
        <f aca="false">Financials!H183/Financials!H158</f>
        <v>0.1145785246053</v>
      </c>
      <c r="I141" s="23" t="n">
        <f aca="false">Financials!I183/Financials!I158</f>
        <v>0.130188817867901</v>
      </c>
      <c r="J141" s="24" t="n">
        <f aca="false">AVERAGE(E141:I141)</f>
        <v>0.118445673860527</v>
      </c>
    </row>
    <row r="142" customFormat="false" ht="15" hidden="false" customHeight="false" outlineLevel="0" collapsed="false">
      <c r="A142" s="20" t="s">
        <v>84</v>
      </c>
      <c r="B142" s="20" t="s">
        <v>124</v>
      </c>
      <c r="C142" s="21" t="s">
        <v>110</v>
      </c>
      <c r="D142" s="30" t="n">
        <f aca="false">Financials!D167</f>
        <v>0.83</v>
      </c>
      <c r="E142" s="30" t="n">
        <f aca="false">Financials!E167</f>
        <v>0.97</v>
      </c>
      <c r="F142" s="30" t="n">
        <f aca="false">Financials!F167</f>
        <v>0.45</v>
      </c>
      <c r="G142" s="30" t="n">
        <f aca="false">Financials!G167</f>
        <v>0.83</v>
      </c>
      <c r="H142" s="30" t="n">
        <f aca="false">Financials!H167</f>
        <v>0.83</v>
      </c>
      <c r="I142" s="30" t="n">
        <f aca="false">Financials!I167</f>
        <v>0.3</v>
      </c>
      <c r="J142" s="24" t="n">
        <f aca="false">AVERAGE(E142:I142)</f>
        <v>0.676</v>
      </c>
    </row>
    <row r="143" customFormat="false" ht="15" hidden="false" customHeight="false" outlineLevel="0" collapsed="false">
      <c r="A143" s="19" t="s">
        <v>84</v>
      </c>
      <c r="B143" s="11" t="s">
        <v>125</v>
      </c>
      <c r="C143" s="12"/>
      <c r="D143" s="12"/>
      <c r="E143" s="12"/>
      <c r="F143" s="12"/>
      <c r="G143" s="12"/>
      <c r="H143" s="12"/>
      <c r="I143" s="12"/>
      <c r="J143" s="12"/>
    </row>
    <row r="144" customFormat="false" ht="15" hidden="false" customHeight="false" outlineLevel="0" collapsed="false">
      <c r="A144" s="20" t="s">
        <v>84</v>
      </c>
      <c r="B144" s="20" t="s">
        <v>99</v>
      </c>
      <c r="C144" s="21" t="s">
        <v>100</v>
      </c>
      <c r="D144" s="23" t="n">
        <f aca="false">Financials!D165/Financials!D158</f>
        <v>0.14898111332008</v>
      </c>
      <c r="E144" s="23" t="n">
        <f aca="false">Financials!E165/Financials!E158</f>
        <v>0.131938603868797</v>
      </c>
      <c r="F144" s="23" t="n">
        <f aca="false">Financials!F165/Financials!F158</f>
        <v>0.135395329782876</v>
      </c>
      <c r="G144" s="23" t="n">
        <f aca="false">Financials!G165/Financials!G158</f>
        <v>0.155599295555786</v>
      </c>
      <c r="H144" s="23" t="n">
        <f aca="false">Financials!H165/Financials!H158</f>
        <v>0.153079124734558</v>
      </c>
      <c r="I144" s="23" t="n">
        <f aca="false">Financials!I165/Financials!I158</f>
        <v>0.133201087355815</v>
      </c>
      <c r="J144" s="24" t="n">
        <f aca="false">AVERAGE(E144:I144)</f>
        <v>0.141842688259566</v>
      </c>
    </row>
    <row r="145" customFormat="false" ht="15" hidden="false" customHeight="false" outlineLevel="0" collapsed="false">
      <c r="A145" s="20" t="s">
        <v>84</v>
      </c>
      <c r="B145" s="20" t="s">
        <v>126</v>
      </c>
      <c r="C145" s="21" t="s">
        <v>109</v>
      </c>
      <c r="D145" s="22" t="s">
        <v>93</v>
      </c>
      <c r="E145" s="25" t="n">
        <f aca="false">Financials!E158/((Financials!E178+Financials!D178)/2)</f>
        <v>1.71341078987661</v>
      </c>
      <c r="F145" s="25" t="n">
        <f aca="false">Financials!F158/((Financials!F178+Financials!E178)/2)</f>
        <v>1.56511982046966</v>
      </c>
      <c r="G145" s="25" t="n">
        <f aca="false">Financials!G158/((Financials!G178+Financials!F178)/2)</f>
        <v>1.3640924185685</v>
      </c>
      <c r="H145" s="25" t="n">
        <f aca="false">Financials!H158/((Financials!H178+Financials!G178)/2)</f>
        <v>1.38610186844126</v>
      </c>
      <c r="I145" s="25" t="n">
        <f aca="false">Financials!I158/((Financials!I178+Financials!H178)/2)</f>
        <v>1.49366255144033</v>
      </c>
      <c r="J145" s="26" t="n">
        <f aca="false">AVERAGE(E145:I145)</f>
        <v>1.50447748975927</v>
      </c>
    </row>
    <row r="146" customFormat="false" ht="15" hidden="false" customHeight="false" outlineLevel="0" collapsed="false">
      <c r="A146" s="20" t="s">
        <v>84</v>
      </c>
      <c r="B146" s="20" t="s">
        <v>127</v>
      </c>
      <c r="C146" s="21" t="s">
        <v>128</v>
      </c>
      <c r="D146" s="22" t="s">
        <v>93</v>
      </c>
      <c r="E146" s="25" t="n">
        <f aca="false">((Financials!E178+Financials!D178)/2)/((Financials!E189+Financials!D189)/2)</f>
        <v>1.68533697632058</v>
      </c>
      <c r="F146" s="25" t="n">
        <f aca="false">((Financials!F178+Financials!E178)/2)/((Financials!F189+Financials!E189)/2)</f>
        <v>1.74576745487617</v>
      </c>
      <c r="G146" s="25" t="n">
        <f aca="false">((Financials!G178+Financials!F178)/2)/((Financials!G189+Financials!F189)/2)</f>
        <v>1.85467173371773</v>
      </c>
      <c r="H146" s="25" t="n">
        <f aca="false">((Financials!H178+Financials!G178)/2)/((Financials!H189+Financials!G189)/2)</f>
        <v>2.00179326245677</v>
      </c>
      <c r="I146" s="25" t="n">
        <f aca="false">((Financials!I178+Financials!H178)/2)/((Financials!I189+Financials!H189)/2)</f>
        <v>2.22663408674404</v>
      </c>
      <c r="J146" s="26" t="n">
        <f aca="false">AVERAGE(E146:I146)</f>
        <v>1.90284070282306</v>
      </c>
    </row>
    <row r="147" customFormat="false" ht="15" hidden="false" customHeight="false" outlineLevel="0" collapsed="false">
      <c r="A147" s="20" t="s">
        <v>84</v>
      </c>
      <c r="B147" s="20" t="s">
        <v>129</v>
      </c>
      <c r="C147" s="21" t="s">
        <v>130</v>
      </c>
      <c r="D147" s="22" t="s">
        <v>93</v>
      </c>
      <c r="E147" s="23" t="n">
        <f aca="false">E144*E145*E146</f>
        <v>0.380995749848209</v>
      </c>
      <c r="F147" s="23" t="n">
        <f aca="false">F144*F145*F146</f>
        <v>0.369945431649643</v>
      </c>
      <c r="G147" s="23" t="n">
        <f aca="false">G144*G145*G146</f>
        <v>0.393657449875508</v>
      </c>
      <c r="H147" s="23" t="n">
        <f aca="false">H144*H145*H146</f>
        <v>0.42474702190342</v>
      </c>
      <c r="I147" s="23" t="n">
        <f aca="false">I144*I145*I146</f>
        <v>0.443005497861943</v>
      </c>
      <c r="J147" s="24" t="n">
        <f aca="false">AVERAGE(E147:I147)</f>
        <v>0.402470230227745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6" t="s">
        <v>131</v>
      </c>
    </row>
    <row r="2" customFormat="false" ht="15" hidden="false" customHeight="false" outlineLevel="0" collapsed="false">
      <c r="A2" s="7" t="s">
        <v>132</v>
      </c>
    </row>
    <row r="4" customFormat="false" ht="15" hidden="false" customHeight="false" outlineLevel="0" collapsed="false">
      <c r="A4" s="31" t="s">
        <v>133</v>
      </c>
    </row>
    <row r="5" customFormat="false" ht="15" hidden="false" customHeight="false" outlineLevel="0" collapsed="false">
      <c r="A5" s="32" t="s">
        <v>134</v>
      </c>
      <c r="B5" s="32" t="s">
        <v>37</v>
      </c>
      <c r="C5" s="32" t="s">
        <v>81</v>
      </c>
      <c r="D5" s="32" t="s">
        <v>82</v>
      </c>
      <c r="E5" s="32" t="s">
        <v>83</v>
      </c>
      <c r="F5" s="32" t="s">
        <v>84</v>
      </c>
    </row>
    <row r="6" customFormat="false" ht="15" hidden="false" customHeight="false" outlineLevel="0" collapsed="false">
      <c r="A6" s="20" t="s">
        <v>135</v>
      </c>
      <c r="B6" s="23" t="n">
        <f aca="false">(Financials!I6/Financials!D6)^(1/5)-1</f>
        <v>0.0651175424096415</v>
      </c>
      <c r="C6" s="23" t="n">
        <f aca="false">(Financials!I44/Financials!D44)^(1/5)-1</f>
        <v>0.0987188463346898</v>
      </c>
      <c r="D6" s="23" t="n">
        <f aca="false">(Financials!I82/Financials!D82)^(1/5)-1</f>
        <v>0.0664953460284152</v>
      </c>
      <c r="E6" s="23" t="n">
        <f aca="false">(Financials!I120/Financials!D120)^(1/5)-1</f>
        <v>0.0783263025542897</v>
      </c>
      <c r="F6" s="23" t="n">
        <f aca="false">(Financials!I158/Financials!D158)^(1/5)-1</f>
        <v>0.110811617638035</v>
      </c>
    </row>
    <row r="7" customFormat="false" ht="15" hidden="false" customHeight="false" outlineLevel="0" collapsed="false">
      <c r="A7" s="20" t="s">
        <v>136</v>
      </c>
      <c r="B7" s="23" t="n">
        <f aca="false">(Financials!I13/Financials!D13)^(1/5)-1</f>
        <v>0.134885604704925</v>
      </c>
      <c r="C7" s="23" t="n">
        <f aca="false">(Financials!I51/Financials!D51)^(1/5)-1</f>
        <v>0.094479375157291</v>
      </c>
      <c r="D7" s="23" t="n">
        <f aca="false">(Financials!I89/Financials!D89)^(1/5)-1</f>
        <v>0.0197363949051046</v>
      </c>
      <c r="E7" s="23" t="n">
        <f aca="false">(Financials!I127/Financials!D127)^(1/5)-1</f>
        <v>0.0650814226219634</v>
      </c>
      <c r="F7" s="23" t="n">
        <f aca="false">(Financials!I165/Financials!D165)^(1/5)-1</f>
        <v>0.0862148207861859</v>
      </c>
    </row>
    <row r="8" customFormat="false" ht="15" hidden="false" customHeight="false" outlineLevel="0" collapsed="false">
      <c r="A8" s="20" t="s">
        <v>137</v>
      </c>
      <c r="B8" s="30" t="n">
        <f aca="false">Ratios!I9</f>
        <v>0.233278525780232</v>
      </c>
      <c r="C8" s="30" t="n">
        <f aca="false">Ratios!I38</f>
        <v>0.346224070598976</v>
      </c>
      <c r="D8" s="30" t="n">
        <f aca="false">Ratios!I67</f>
        <v>0.185704540286516</v>
      </c>
      <c r="E8" s="30" t="n">
        <f aca="false">Ratios!I96</f>
        <v>0.183479532163743</v>
      </c>
      <c r="F8" s="30" t="n">
        <f aca="false">Ratios!I125</f>
        <v>0.171038130923518</v>
      </c>
    </row>
    <row r="9" customFormat="false" ht="15" hidden="false" customHeight="false" outlineLevel="0" collapsed="false">
      <c r="A9" s="20" t="s">
        <v>99</v>
      </c>
      <c r="B9" s="30" t="n">
        <f aca="false">Ratios!I10</f>
        <v>0.233588757212881</v>
      </c>
      <c r="C9" s="30" t="n">
        <f aca="false">Ratios!I39</f>
        <v>0.266495917228787</v>
      </c>
      <c r="D9" s="30" t="n">
        <f aca="false">Ratios!I68</f>
        <v>0.14166603501857</v>
      </c>
      <c r="E9" s="30" t="n">
        <f aca="false">Ratios!I97</f>
        <v>0.132466583124478</v>
      </c>
      <c r="F9" s="30" t="n">
        <f aca="false">Ratios!I126</f>
        <v>0.133201087355815</v>
      </c>
    </row>
    <row r="10" customFormat="false" ht="15" hidden="false" customHeight="false" outlineLevel="0" collapsed="false">
      <c r="A10" s="20" t="s">
        <v>138</v>
      </c>
      <c r="B10" s="30" t="n">
        <f aca="false">Ratios!I11</f>
        <v>0.306884992001304</v>
      </c>
      <c r="C10" s="30" t="n">
        <f aca="false">Ratios!I40</f>
        <v>0.294912899808471</v>
      </c>
      <c r="D10" s="30" t="n">
        <f aca="false">Ratios!I69</f>
        <v>0.168234393987128</v>
      </c>
      <c r="E10" s="30" t="n">
        <f aca="false">Ratios!I98</f>
        <v>0.536250264214754</v>
      </c>
      <c r="F10" s="30" t="n">
        <f aca="false">Ratios!I127</f>
        <v>0.443005497861943</v>
      </c>
    </row>
    <row r="11" customFormat="false" ht="15" hidden="false" customHeight="false" outlineLevel="0" collapsed="false">
      <c r="A11" s="20" t="s">
        <v>139</v>
      </c>
      <c r="B11" s="30" t="n">
        <f aca="false">Ratios!I12</f>
        <v>0.367918472947752</v>
      </c>
      <c r="C11" s="30" t="n">
        <f aca="false">Ratios!I41</f>
        <v>0.387244269079541</v>
      </c>
      <c r="D11" s="30" t="n">
        <f aca="false">Ratios!I70</f>
        <v>0.209764474975466</v>
      </c>
      <c r="E11" s="30" t="n">
        <f aca="false">Ratios!I99</f>
        <v>0.562825709322525</v>
      </c>
      <c r="F11" s="30" t="n">
        <f aca="false">Ratios!I128</f>
        <v>0.501290877796902</v>
      </c>
    </row>
    <row r="12" customFormat="false" ht="15" hidden="false" customHeight="false" outlineLevel="0" collapsed="false">
      <c r="A12" s="20" t="s">
        <v>140</v>
      </c>
      <c r="B12" s="30" t="n">
        <f aca="false">Ratios!I13</f>
        <v>0.188708090801436</v>
      </c>
      <c r="C12" s="30" t="n">
        <f aca="false">Ratios!I42</f>
        <v>0.231424796300374</v>
      </c>
      <c r="D12" s="30" t="n">
        <f aca="false">Ratios!I71</f>
        <v>0.110886977158113</v>
      </c>
      <c r="E12" s="30" t="n">
        <f aca="false">Ratios!I100</f>
        <v>0.273280551516131</v>
      </c>
      <c r="F12" s="30" t="n">
        <f aca="false">Ratios!I129</f>
        <v>0.198957475994513</v>
      </c>
    </row>
    <row r="13" customFormat="false" ht="15" hidden="false" customHeight="false" outlineLevel="0" collapsed="false">
      <c r="A13" s="20" t="s">
        <v>108</v>
      </c>
      <c r="B13" s="33" t="n">
        <f aca="false">Ratios!I15</f>
        <v>0.807864612377115</v>
      </c>
      <c r="C13" s="33" t="n">
        <f aca="false">Ratios!I44</f>
        <v>0.868399031050429</v>
      </c>
      <c r="D13" s="33" t="n">
        <f aca="false">Ratios!I73</f>
        <v>0.782735093444082</v>
      </c>
      <c r="E13" s="33" t="n">
        <f aca="false">Ratios!I102</f>
        <v>2.0630150266602</v>
      </c>
      <c r="F13" s="33" t="n">
        <f aca="false">Ratios!I131</f>
        <v>1.49366255144033</v>
      </c>
    </row>
    <row r="14" customFormat="false" ht="15" hidden="false" customHeight="false" outlineLevel="0" collapsed="false">
      <c r="A14" s="20" t="s">
        <v>112</v>
      </c>
      <c r="B14" s="27" t="n">
        <f aca="false">Ratios!I19</f>
        <v>-89</v>
      </c>
      <c r="C14" s="27" t="n">
        <f aca="false">Ratios!I48</f>
        <v>164</v>
      </c>
      <c r="D14" s="27" t="n">
        <f aca="false">Ratios!I77</f>
        <v>-26</v>
      </c>
      <c r="E14" s="27" t="n">
        <f aca="false">Ratios!I106</f>
        <v>-9</v>
      </c>
      <c r="F14" s="27" t="n">
        <f aca="false">Ratios!I135</f>
        <v>12</v>
      </c>
    </row>
    <row r="15" customFormat="false" ht="15" hidden="false" customHeight="false" outlineLevel="0" collapsed="false">
      <c r="A15" s="20" t="s">
        <v>115</v>
      </c>
      <c r="B15" s="33" t="n">
        <f aca="false">Ratios!I21</f>
        <v>0.0303247912349453</v>
      </c>
      <c r="C15" s="33" t="n">
        <f aca="false">Ratios!I50</f>
        <v>0.0330864606175955</v>
      </c>
      <c r="D15" s="33" t="n">
        <f aca="false">Ratios!I79</f>
        <v>0.112706892022068</v>
      </c>
      <c r="E15" s="33" t="n">
        <f aca="false">Ratios!I108</f>
        <v>0.27027027027027</v>
      </c>
      <c r="F15" s="33" t="n">
        <f aca="false">Ratios!I137</f>
        <v>0.132304038004751</v>
      </c>
    </row>
    <row r="16" customFormat="false" ht="15" hidden="false" customHeight="false" outlineLevel="0" collapsed="false">
      <c r="A16" s="20" t="s">
        <v>117</v>
      </c>
      <c r="B16" s="33" t="n">
        <f aca="false">Ratios!I22</f>
        <v>45.4365853658537</v>
      </c>
      <c r="C16" s="33" t="n">
        <f aca="false">Ratios!I51</f>
        <v>330.8</v>
      </c>
      <c r="D16" s="33" t="n">
        <f aca="false">Ratios!I80</f>
        <v>17.6896551724138</v>
      </c>
      <c r="E16" s="33" t="n">
        <f aca="false">Ratios!I109</f>
        <v>30.1061946902655</v>
      </c>
      <c r="F16" s="33" t="n">
        <f aca="false">Ratios!I138</f>
        <v>43.9622641509434</v>
      </c>
    </row>
    <row r="17" customFormat="false" ht="15" hidden="false" customHeight="false" outlineLevel="0" collapsed="false">
      <c r="A17" s="20" t="s">
        <v>141</v>
      </c>
      <c r="B17" s="33" t="n">
        <f aca="false">Ratios!I24</f>
        <v>0.730393784447839</v>
      </c>
      <c r="C17" s="33" t="n">
        <f aca="false">Ratios!I53</f>
        <v>0.878485108002664</v>
      </c>
      <c r="D17" s="33" t="n">
        <f aca="false">Ratios!I82</f>
        <v>1.37988228999465</v>
      </c>
      <c r="E17" s="33" t="n">
        <f aca="false">Ratios!I111</f>
        <v>1.0295624753646</v>
      </c>
      <c r="F17" s="33" t="n">
        <f aca="false">Ratios!I140</f>
        <v>1.14947600661886</v>
      </c>
    </row>
    <row r="18" customFormat="false" ht="15" hidden="false" customHeight="false" outlineLevel="0" collapsed="false">
      <c r="A18" s="20" t="s">
        <v>122</v>
      </c>
      <c r="B18" s="30" t="n">
        <f aca="false">Ratios!I25</f>
        <v>0.149950362970776</v>
      </c>
      <c r="C18" s="30" t="n">
        <f aca="false">Ratios!I54</f>
        <v>0.207080184612264</v>
      </c>
      <c r="D18" s="30" t="n">
        <f aca="false">Ratios!I83</f>
        <v>0.165239141969226</v>
      </c>
      <c r="E18" s="30" t="n">
        <f aca="false">Ratios!I112</f>
        <v>0.125730994152047</v>
      </c>
      <c r="F18" s="30" t="n">
        <f aca="false">Ratios!I141</f>
        <v>0.130188817867901</v>
      </c>
    </row>
    <row r="19" customFormat="false" ht="15" hidden="false" customHeight="false" outlineLevel="0" collapsed="false">
      <c r="A19" s="20" t="s">
        <v>124</v>
      </c>
      <c r="B19" s="30" t="n">
        <f aca="false">Ratios!I26</f>
        <v>0.64</v>
      </c>
      <c r="C19" s="30" t="n">
        <f aca="false">Ratios!I55</f>
        <v>0.88</v>
      </c>
      <c r="D19" s="30" t="n">
        <f aca="false">Ratios!I84</f>
        <v>0.77</v>
      </c>
      <c r="E19" s="30" t="n">
        <f aca="false">Ratios!I113</f>
        <v>0.86</v>
      </c>
      <c r="F19" s="30" t="n">
        <f aca="false">Ratios!I142</f>
        <v>0.3</v>
      </c>
    </row>
    <row r="22" customFormat="false" ht="15" hidden="false" customHeight="false" outlineLevel="0" collapsed="false">
      <c r="A22" s="31" t="s">
        <v>142</v>
      </c>
    </row>
    <row r="23" customFormat="false" ht="15" hidden="false" customHeight="false" outlineLevel="0" collapsed="false">
      <c r="A23" s="32" t="s">
        <v>134</v>
      </c>
      <c r="B23" s="32" t="s">
        <v>37</v>
      </c>
      <c r="C23" s="32" t="s">
        <v>81</v>
      </c>
      <c r="D23" s="32" t="s">
        <v>82</v>
      </c>
      <c r="E23" s="32" t="s">
        <v>83</v>
      </c>
      <c r="F23" s="32" t="s">
        <v>84</v>
      </c>
    </row>
    <row r="24" customFormat="false" ht="15" hidden="false" customHeight="false" outlineLevel="0" collapsed="false">
      <c r="A24" s="20" t="s">
        <v>137</v>
      </c>
      <c r="B24" s="30" t="n">
        <f aca="false">Ratios!J9</f>
        <v>0.23768934557342</v>
      </c>
      <c r="C24" s="30" t="n">
        <f aca="false">Ratios!J38</f>
        <v>0.352491796817262</v>
      </c>
      <c r="D24" s="30" t="n">
        <f aca="false">Ratios!J67</f>
        <v>0.19157328832514</v>
      </c>
      <c r="E24" s="30" t="n">
        <f aca="false">Ratios!J96</f>
        <v>0.175743394167307</v>
      </c>
      <c r="F24" s="30" t="n">
        <f aca="false">Ratios!J125</f>
        <v>0.188101748609481</v>
      </c>
    </row>
    <row r="25" customFormat="false" ht="15" hidden="false" customHeight="false" outlineLevel="0" collapsed="false">
      <c r="A25" s="20" t="s">
        <v>99</v>
      </c>
      <c r="B25" s="30" t="n">
        <f aca="false">Ratios!J10</f>
        <v>0.182136451089243</v>
      </c>
      <c r="C25" s="30" t="n">
        <f aca="false">Ratios!J39</f>
        <v>0.313518306628434</v>
      </c>
      <c r="D25" s="30" t="n">
        <f aca="false">Ratios!J68</f>
        <v>0.14673508436843</v>
      </c>
      <c r="E25" s="30" t="n">
        <f aca="false">Ratios!J97</f>
        <v>0.126086137685615</v>
      </c>
      <c r="F25" s="30" t="n">
        <f aca="false">Ratios!J126</f>
        <v>0.141842688259566</v>
      </c>
    </row>
    <row r="26" customFormat="false" ht="15" hidden="false" customHeight="false" outlineLevel="0" collapsed="false">
      <c r="A26" s="20" t="s">
        <v>138</v>
      </c>
      <c r="B26" s="30" t="n">
        <f aca="false">Ratios!J11</f>
        <v>0.22190917436605</v>
      </c>
      <c r="C26" s="30" t="n">
        <f aca="false">Ratios!J40</f>
        <v>0.323458440524073</v>
      </c>
      <c r="D26" s="30" t="n">
        <f aca="false">Ratios!J69</f>
        <v>0.188407524486988</v>
      </c>
      <c r="E26" s="30" t="n">
        <f aca="false">Ratios!J98</f>
        <v>0.57782627891717</v>
      </c>
      <c r="F26" s="30" t="n">
        <f aca="false">Ratios!J127</f>
        <v>0.402470230227745</v>
      </c>
    </row>
    <row r="27" customFormat="false" ht="15" hidden="false" customHeight="false" outlineLevel="0" collapsed="false">
      <c r="A27" s="20" t="s">
        <v>139</v>
      </c>
      <c r="B27" s="30" t="n">
        <f aca="false">Ratios!J12</f>
        <v>0.287370197349497</v>
      </c>
      <c r="C27" s="30" t="n">
        <f aca="false">Ratios!J41</f>
        <v>0.414171162337745</v>
      </c>
      <c r="D27" s="30" t="n">
        <f aca="false">Ratios!J70</f>
        <v>0.230043541557645</v>
      </c>
      <c r="E27" s="30" t="n">
        <f aca="false">Ratios!J99</f>
        <v>0.510192834621081</v>
      </c>
      <c r="F27" s="30" t="n">
        <f aca="false">Ratios!J128</f>
        <v>0.463529604802954</v>
      </c>
    </row>
    <row r="28" customFormat="false" ht="15" hidden="false" customHeight="false" outlineLevel="0" collapsed="false">
      <c r="A28" s="20" t="s">
        <v>140</v>
      </c>
      <c r="B28" s="30" t="n">
        <f aca="false">Ratios!J13</f>
        <v>0.145632239621733</v>
      </c>
      <c r="C28" s="30" t="n">
        <f aca="false">Ratios!J42</f>
        <v>0.25989193898678</v>
      </c>
      <c r="D28" s="30" t="n">
        <f aca="false">Ratios!J71</f>
        <v>0.125935752292721</v>
      </c>
      <c r="E28" s="30" t="n">
        <f aca="false">Ratios!J100</f>
        <v>0.243589736584249</v>
      </c>
      <c r="F28" s="30" t="n">
        <f aca="false">Ratios!J129</f>
        <v>0.212273499584588</v>
      </c>
    </row>
    <row r="29" customFormat="false" ht="15" hidden="false" customHeight="false" outlineLevel="0" collapsed="false">
      <c r="A29" s="20" t="s">
        <v>108</v>
      </c>
      <c r="B29" s="33" t="n">
        <f aca="false">Ratios!J15</f>
        <v>0.799262780871019</v>
      </c>
      <c r="C29" s="33" t="n">
        <f aca="false">Ratios!J44</f>
        <v>0.829004610360684</v>
      </c>
      <c r="D29" s="33" t="n">
        <f aca="false">Ratios!J73</f>
        <v>0.855553122426676</v>
      </c>
      <c r="E29" s="33" t="n">
        <f aca="false">Ratios!J102</f>
        <v>1.92802973536475</v>
      </c>
      <c r="F29" s="33" t="n">
        <f aca="false">Ratios!J131</f>
        <v>1.50447748975927</v>
      </c>
    </row>
    <row r="30" customFormat="false" ht="15" hidden="false" customHeight="false" outlineLevel="0" collapsed="false">
      <c r="A30" s="20" t="s">
        <v>112</v>
      </c>
      <c r="B30" s="27" t="n">
        <f aca="false">Ratios!J19</f>
        <v>-68.8</v>
      </c>
      <c r="C30" s="27" t="n">
        <f aca="false">Ratios!J48</f>
        <v>133.2</v>
      </c>
      <c r="D30" s="27" t="n">
        <f aca="false">Ratios!J77</f>
        <v>-4.8</v>
      </c>
      <c r="E30" s="27" t="n">
        <f aca="false">Ratios!J106</f>
        <v>-3.6</v>
      </c>
      <c r="F30" s="27" t="n">
        <f aca="false">Ratios!J135</f>
        <v>22.8</v>
      </c>
    </row>
    <row r="31" customFormat="false" ht="15" hidden="false" customHeight="false" outlineLevel="0" collapsed="false">
      <c r="A31" s="20" t="s">
        <v>115</v>
      </c>
      <c r="B31" s="33" t="n">
        <f aca="false">Ratios!J21</f>
        <v>0.027629973480487</v>
      </c>
      <c r="C31" s="33" t="n">
        <f aca="false">Ratios!J50</f>
        <v>0.00992691806296503</v>
      </c>
      <c r="D31" s="33" t="n">
        <f aca="false">Ratios!J79</f>
        <v>0.118548624021247</v>
      </c>
      <c r="E31" s="33" t="n">
        <f aca="false">Ratios!J108</f>
        <v>0.579693332234948</v>
      </c>
      <c r="F31" s="33" t="n">
        <f aca="false">Ratios!J137</f>
        <v>0.142514953949133</v>
      </c>
    </row>
    <row r="32" customFormat="false" ht="15" hidden="false" customHeight="false" outlineLevel="0" collapsed="false">
      <c r="A32" s="20" t="s">
        <v>117</v>
      </c>
      <c r="B32" s="33" t="n">
        <f aca="false">Ratios!J22</f>
        <v>71.6190019632097</v>
      </c>
      <c r="C32" s="33" t="n">
        <f aca="false">Ratios!J51</f>
        <v>527.216923076923</v>
      </c>
      <c r="D32" s="33" t="n">
        <f aca="false">Ratios!J80</f>
        <v>28.2220693063866</v>
      </c>
      <c r="E32" s="33" t="n">
        <f aca="false">Ratios!J109</f>
        <v>21.0606489773474</v>
      </c>
      <c r="F32" s="33" t="n">
        <f aca="false">Ratios!J138</f>
        <v>37.3194642158909</v>
      </c>
    </row>
    <row r="33" customFormat="false" ht="15" hidden="false" customHeight="false" outlineLevel="0" collapsed="false">
      <c r="A33" s="20" t="s">
        <v>141</v>
      </c>
      <c r="B33" s="33" t="n">
        <f aca="false">Ratios!J24</f>
        <v>1.07025715436446</v>
      </c>
      <c r="C33" s="33" t="n">
        <f aca="false">Ratios!J53</f>
        <v>0.839217106143965</v>
      </c>
      <c r="D33" s="33" t="n">
        <f aca="false">Ratios!J82</f>
        <v>1.10851992170257</v>
      </c>
      <c r="E33" s="33" t="n">
        <f aca="false">Ratios!J111</f>
        <v>1.06543652567785</v>
      </c>
      <c r="F33" s="33" t="n">
        <f aca="false">Ratios!J140</f>
        <v>0.955584328839612</v>
      </c>
    </row>
    <row r="34" customFormat="false" ht="15" hidden="false" customHeight="false" outlineLevel="0" collapsed="false">
      <c r="A34" s="20" t="s">
        <v>122</v>
      </c>
      <c r="B34" s="30" t="n">
        <f aca="false">Ratios!J25</f>
        <v>0.170047760904115</v>
      </c>
      <c r="C34" s="30" t="n">
        <f aca="false">Ratios!J54</f>
        <v>0.214083691991219</v>
      </c>
      <c r="D34" s="30" t="n">
        <f aca="false">Ratios!J83</f>
        <v>0.123245805226754</v>
      </c>
      <c r="E34" s="30" t="n">
        <f aca="false">Ratios!J112</f>
        <v>0.107508969590881</v>
      </c>
      <c r="F34" s="30" t="n">
        <f aca="false">Ratios!J141</f>
        <v>0.118445673860527</v>
      </c>
    </row>
    <row r="35" customFormat="false" ht="15" hidden="false" customHeight="false" outlineLevel="0" collapsed="false">
      <c r="A35" s="20" t="s">
        <v>124</v>
      </c>
      <c r="B35" s="30" t="n">
        <f aca="false">Ratios!J26</f>
        <v>0.916</v>
      </c>
      <c r="C35" s="30" t="n">
        <f aca="false">Ratios!J55</f>
        <v>0.834</v>
      </c>
      <c r="D35" s="30" t="n">
        <f aca="false">Ratios!J84</f>
        <v>0.634</v>
      </c>
      <c r="E35" s="30" t="n">
        <f aca="false">Ratios!J113</f>
        <v>0.832</v>
      </c>
      <c r="F35" s="30" t="n">
        <f aca="false">Ratios!J142</f>
        <v>0.676</v>
      </c>
    </row>
    <row r="38" customFormat="false" ht="15" hidden="false" customHeight="false" outlineLevel="0" collapsed="false">
      <c r="A38" s="31" t="s">
        <v>143</v>
      </c>
    </row>
    <row r="39" customFormat="false" ht="15" hidden="false" customHeight="false" outlineLevel="0" collapsed="false">
      <c r="A39" s="32" t="s">
        <v>134</v>
      </c>
      <c r="B39" s="32" t="s">
        <v>37</v>
      </c>
      <c r="C39" s="32" t="s">
        <v>81</v>
      </c>
      <c r="D39" s="32" t="s">
        <v>82</v>
      </c>
      <c r="E39" s="32" t="s">
        <v>83</v>
      </c>
      <c r="F39" s="32" t="s">
        <v>84</v>
      </c>
    </row>
    <row r="40" customFormat="false" ht="15" hidden="false" customHeight="false" outlineLevel="0" collapsed="false">
      <c r="A40" s="20" t="s">
        <v>135</v>
      </c>
      <c r="B40" s="34" t="n">
        <f aca="false">RANK(B6,$B$6:$F$6,0)</f>
        <v>5</v>
      </c>
      <c r="C40" s="34" t="n">
        <f aca="false">RANK(C6,$B$6:$F$6,0)</f>
        <v>2</v>
      </c>
      <c r="D40" s="34" t="n">
        <f aca="false">RANK(D6,$B$6:$F$6,0)</f>
        <v>4</v>
      </c>
      <c r="E40" s="34" t="n">
        <f aca="false">RANK(E6,$B$6:$F$6,0)</f>
        <v>3</v>
      </c>
      <c r="F40" s="34" t="n">
        <f aca="false">RANK(F6,$B$6:$F$6,0)</f>
        <v>1</v>
      </c>
    </row>
    <row r="41" customFormat="false" ht="15" hidden="false" customHeight="false" outlineLevel="0" collapsed="false">
      <c r="A41" s="20" t="s">
        <v>136</v>
      </c>
      <c r="B41" s="34" t="n">
        <f aca="false">RANK(B7,$B$7:$F$7,0)</f>
        <v>1</v>
      </c>
      <c r="C41" s="34" t="n">
        <f aca="false">RANK(C7,$B$7:$F$7,0)</f>
        <v>2</v>
      </c>
      <c r="D41" s="34" t="n">
        <f aca="false">RANK(D7,$B$7:$F$7,0)</f>
        <v>5</v>
      </c>
      <c r="E41" s="34" t="n">
        <f aca="false">RANK(E7,$B$7:$F$7,0)</f>
        <v>4</v>
      </c>
      <c r="F41" s="34" t="n">
        <f aca="false">RANK(F7,$B$7:$F$7,0)</f>
        <v>3</v>
      </c>
    </row>
    <row r="42" customFormat="false" ht="15" hidden="false" customHeight="false" outlineLevel="0" collapsed="false">
      <c r="A42" s="20" t="s">
        <v>137</v>
      </c>
      <c r="B42" s="34" t="n">
        <f aca="false">RANK(B8,$B$8:$F$8,0)</f>
        <v>2</v>
      </c>
      <c r="C42" s="34" t="n">
        <f aca="false">RANK(C8,$B$8:$F$8,0)</f>
        <v>1</v>
      </c>
      <c r="D42" s="34" t="n">
        <f aca="false">RANK(D8,$B$8:$F$8,0)</f>
        <v>3</v>
      </c>
      <c r="E42" s="34" t="n">
        <f aca="false">RANK(E8,$B$8:$F$8,0)</f>
        <v>4</v>
      </c>
      <c r="F42" s="34" t="n">
        <f aca="false">RANK(F8,$B$8:$F$8,0)</f>
        <v>5</v>
      </c>
    </row>
    <row r="43" customFormat="false" ht="15" hidden="false" customHeight="false" outlineLevel="0" collapsed="false">
      <c r="A43" s="20" t="s">
        <v>99</v>
      </c>
      <c r="B43" s="34" t="n">
        <f aca="false">RANK(B9,$B$9:$F$9,0)</f>
        <v>2</v>
      </c>
      <c r="C43" s="34" t="n">
        <f aca="false">RANK(C9,$B$9:$F$9,0)</f>
        <v>1</v>
      </c>
      <c r="D43" s="34" t="n">
        <f aca="false">RANK(D9,$B$9:$F$9,0)</f>
        <v>3</v>
      </c>
      <c r="E43" s="34" t="n">
        <f aca="false">RANK(E9,$B$9:$F$9,0)</f>
        <v>5</v>
      </c>
      <c r="F43" s="34" t="n">
        <f aca="false">RANK(F9,$B$9:$F$9,0)</f>
        <v>4</v>
      </c>
    </row>
    <row r="44" customFormat="false" ht="15" hidden="false" customHeight="false" outlineLevel="0" collapsed="false">
      <c r="A44" s="20" t="s">
        <v>138</v>
      </c>
      <c r="B44" s="34" t="n">
        <f aca="false">RANK(B10,$B$10:$F$10,0)</f>
        <v>3</v>
      </c>
      <c r="C44" s="34" t="n">
        <f aca="false">RANK(C10,$B$10:$F$10,0)</f>
        <v>4</v>
      </c>
      <c r="D44" s="34" t="n">
        <f aca="false">RANK(D10,$B$10:$F$10,0)</f>
        <v>5</v>
      </c>
      <c r="E44" s="34" t="n">
        <f aca="false">RANK(E10,$B$10:$F$10,0)</f>
        <v>1</v>
      </c>
      <c r="F44" s="34" t="n">
        <f aca="false">RANK(F10,$B$10:$F$10,0)</f>
        <v>2</v>
      </c>
    </row>
    <row r="45" customFormat="false" ht="15" hidden="false" customHeight="false" outlineLevel="0" collapsed="false">
      <c r="A45" s="20" t="s">
        <v>139</v>
      </c>
      <c r="B45" s="34" t="n">
        <f aca="false">RANK(B11,$B$11:$F$11,0)</f>
        <v>4</v>
      </c>
      <c r="C45" s="34" t="n">
        <f aca="false">RANK(C11,$B$11:$F$11,0)</f>
        <v>3</v>
      </c>
      <c r="D45" s="34" t="n">
        <f aca="false">RANK(D11,$B$11:$F$11,0)</f>
        <v>5</v>
      </c>
      <c r="E45" s="34" t="n">
        <f aca="false">RANK(E11,$B$11:$F$11,0)</f>
        <v>1</v>
      </c>
      <c r="F45" s="34" t="n">
        <f aca="false">RANK(F11,$B$11:$F$11,0)</f>
        <v>2</v>
      </c>
    </row>
    <row r="46" customFormat="false" ht="15" hidden="false" customHeight="false" outlineLevel="0" collapsed="false">
      <c r="A46" s="20" t="s">
        <v>140</v>
      </c>
      <c r="B46" s="34" t="n">
        <f aca="false">RANK(B12,$B$12:$F$12,0)</f>
        <v>4</v>
      </c>
      <c r="C46" s="34" t="n">
        <f aca="false">RANK(C12,$B$12:$F$12,0)</f>
        <v>2</v>
      </c>
      <c r="D46" s="34" t="n">
        <f aca="false">RANK(D12,$B$12:$F$12,0)</f>
        <v>5</v>
      </c>
      <c r="E46" s="34" t="n">
        <f aca="false">RANK(E12,$B$12:$F$12,0)</f>
        <v>1</v>
      </c>
      <c r="F46" s="34" t="n">
        <f aca="false">RANK(F12,$B$12:$F$12,0)</f>
        <v>3</v>
      </c>
    </row>
    <row r="47" customFormat="false" ht="15" hidden="false" customHeight="false" outlineLevel="0" collapsed="false">
      <c r="A47" s="20" t="s">
        <v>108</v>
      </c>
      <c r="B47" s="34" t="n">
        <f aca="false">RANK(B13,$B$13:$F$13,0)</f>
        <v>4</v>
      </c>
      <c r="C47" s="34" t="n">
        <f aca="false">RANK(C13,$B$13:$F$13,0)</f>
        <v>3</v>
      </c>
      <c r="D47" s="34" t="n">
        <f aca="false">RANK(D13,$B$13:$F$13,0)</f>
        <v>5</v>
      </c>
      <c r="E47" s="34" t="n">
        <f aca="false">RANK(E13,$B$13:$F$13,0)</f>
        <v>1</v>
      </c>
      <c r="F47" s="34" t="n">
        <f aca="false">RANK(F13,$B$13:$F$13,0)</f>
        <v>2</v>
      </c>
    </row>
    <row r="48" customFormat="false" ht="15" hidden="false" customHeight="false" outlineLevel="0" collapsed="false">
      <c r="A48" s="20" t="s">
        <v>112</v>
      </c>
      <c r="B48" s="34" t="n">
        <f aca="false">RANK(B14,$B$14:$F$14,1)</f>
        <v>1</v>
      </c>
      <c r="C48" s="34" t="n">
        <f aca="false">RANK(C14,$B$14:$F$14,1)</f>
        <v>5</v>
      </c>
      <c r="D48" s="34" t="n">
        <f aca="false">RANK(D14,$B$14:$F$14,1)</f>
        <v>2</v>
      </c>
      <c r="E48" s="34" t="n">
        <f aca="false">RANK(E14,$B$14:$F$14,1)</f>
        <v>3</v>
      </c>
      <c r="F48" s="34" t="n">
        <f aca="false">RANK(F14,$B$14:$F$14,1)</f>
        <v>4</v>
      </c>
    </row>
    <row r="49" customFormat="false" ht="15" hidden="false" customHeight="false" outlineLevel="0" collapsed="false">
      <c r="A49" s="20" t="s">
        <v>115</v>
      </c>
      <c r="B49" s="34" t="n">
        <f aca="false">RANK(B15,$B$15:$F$15,1)</f>
        <v>1</v>
      </c>
      <c r="C49" s="34" t="n">
        <f aca="false">RANK(C15,$B$15:$F$15,1)</f>
        <v>2</v>
      </c>
      <c r="D49" s="34" t="n">
        <f aca="false">RANK(D15,$B$15:$F$15,1)</f>
        <v>3</v>
      </c>
      <c r="E49" s="34" t="n">
        <f aca="false">RANK(E15,$B$15:$F$15,1)</f>
        <v>5</v>
      </c>
      <c r="F49" s="34" t="n">
        <f aca="false">RANK(F15,$B$15:$F$15,1)</f>
        <v>4</v>
      </c>
    </row>
    <row r="50" customFormat="false" ht="15" hidden="false" customHeight="false" outlineLevel="0" collapsed="false">
      <c r="A50" s="20" t="s">
        <v>117</v>
      </c>
      <c r="B50" s="34" t="n">
        <f aca="false">RANK(B16,$B$16:$F$16,0)</f>
        <v>2</v>
      </c>
      <c r="C50" s="34" t="n">
        <f aca="false">RANK(C16,$B$16:$F$16,0)</f>
        <v>1</v>
      </c>
      <c r="D50" s="34" t="n">
        <f aca="false">RANK(D16,$B$16:$F$16,0)</f>
        <v>5</v>
      </c>
      <c r="E50" s="34" t="n">
        <f aca="false">RANK(E16,$B$16:$F$16,0)</f>
        <v>4</v>
      </c>
      <c r="F50" s="34" t="n">
        <f aca="false">RANK(F16,$B$16:$F$16,0)</f>
        <v>3</v>
      </c>
    </row>
    <row r="51" customFormat="false" ht="15" hidden="false" customHeight="false" outlineLevel="0" collapsed="false">
      <c r="A51" s="20" t="s">
        <v>141</v>
      </c>
      <c r="B51" s="34" t="n">
        <f aca="false">RANK(B17,$B$17:$F$17,0)</f>
        <v>5</v>
      </c>
      <c r="C51" s="34" t="n">
        <f aca="false">RANK(C17,$B$17:$F$17,0)</f>
        <v>4</v>
      </c>
      <c r="D51" s="34" t="n">
        <f aca="false">RANK(D17,$B$17:$F$17,0)</f>
        <v>1</v>
      </c>
      <c r="E51" s="34" t="n">
        <f aca="false">RANK(E17,$B$17:$F$17,0)</f>
        <v>3</v>
      </c>
      <c r="F51" s="34" t="n">
        <f aca="false">RANK(F17,$B$17:$F$17,0)</f>
        <v>2</v>
      </c>
    </row>
    <row r="52" customFormat="false" ht="15" hidden="false" customHeight="false" outlineLevel="0" collapsed="false">
      <c r="A52" s="20" t="s">
        <v>122</v>
      </c>
      <c r="B52" s="34" t="n">
        <f aca="false">RANK(B18,$B$18:$F$18,0)</f>
        <v>3</v>
      </c>
      <c r="C52" s="34" t="n">
        <f aca="false">RANK(C18,$B$18:$F$18,0)</f>
        <v>1</v>
      </c>
      <c r="D52" s="34" t="n">
        <f aca="false">RANK(D18,$B$18:$F$18,0)</f>
        <v>2</v>
      </c>
      <c r="E52" s="34" t="n">
        <f aca="false">RANK(E18,$B$18:$F$18,0)</f>
        <v>5</v>
      </c>
      <c r="F52" s="34" t="n">
        <f aca="false">RANK(F18,$B$18:$F$18,0)</f>
        <v>4</v>
      </c>
    </row>
    <row r="53" customFormat="false" ht="15" hidden="false" customHeight="false" outlineLevel="0" collapsed="false">
      <c r="A53" s="20" t="s">
        <v>124</v>
      </c>
      <c r="B53" s="34" t="n">
        <f aca="false">RANK(B19,$B$19:$F$19,0)</f>
        <v>4</v>
      </c>
      <c r="C53" s="34" t="n">
        <f aca="false">RANK(C19,$B$19:$F$19,0)</f>
        <v>1</v>
      </c>
      <c r="D53" s="34" t="n">
        <f aca="false">RANK(D19,$B$19:$F$19,0)</f>
        <v>3</v>
      </c>
      <c r="E53" s="34" t="n">
        <f aca="false">RANK(E19,$B$19:$F$19,0)</f>
        <v>2</v>
      </c>
      <c r="F53" s="34" t="n">
        <f aca="false">RANK(F19,$B$19:$F$19,0)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35" t="s">
        <v>144</v>
      </c>
    </row>
    <row r="2" customFormat="false" ht="15" hidden="false" customHeight="false" outlineLevel="0" collapsed="false">
      <c r="A2" s="7" t="s">
        <v>145</v>
      </c>
    </row>
    <row r="4" customFormat="false" ht="15" hidden="false" customHeight="false" outlineLevel="0" collapsed="false">
      <c r="A4" s="31" t="s">
        <v>137</v>
      </c>
    </row>
    <row r="5" customFormat="false" ht="15" hidden="false" customHeight="false" outlineLevel="0" collapsed="false">
      <c r="A5" s="36" t="s">
        <v>146</v>
      </c>
      <c r="B5" s="9" t="s">
        <v>37</v>
      </c>
      <c r="C5" s="9" t="s">
        <v>81</v>
      </c>
      <c r="D5" s="9" t="s">
        <v>82</v>
      </c>
      <c r="E5" s="9" t="s">
        <v>83</v>
      </c>
      <c r="F5" s="9" t="s">
        <v>84</v>
      </c>
    </row>
    <row r="6" customFormat="false" ht="15" hidden="false" customHeight="false" outlineLevel="0" collapsed="false">
      <c r="A6" s="20" t="s">
        <v>40</v>
      </c>
      <c r="B6" s="30" t="n">
        <f aca="false">Ratios!E9</f>
        <v>0.245147389696068</v>
      </c>
      <c r="C6" s="30" t="n">
        <f aca="false">Ratios!E38</f>
        <v>0.340061010800561</v>
      </c>
      <c r="D6" s="30" t="n">
        <f aca="false">Ratios!E67</f>
        <v>0.206814216181468</v>
      </c>
      <c r="E6" s="30" t="n">
        <f aca="false">Ratios!E96</f>
        <v>0.155701754385965</v>
      </c>
      <c r="F6" s="30" t="n">
        <f aca="false">Ratios!E125</f>
        <v>0.176724137931034</v>
      </c>
    </row>
    <row r="7" customFormat="false" ht="15" hidden="false" customHeight="false" outlineLevel="0" collapsed="false">
      <c r="A7" s="20" t="s">
        <v>41</v>
      </c>
      <c r="B7" s="30" t="n">
        <f aca="false">Ratios!F9</f>
        <v>0.233525916143942</v>
      </c>
      <c r="C7" s="30" t="n">
        <f aca="false">Ratios!F38</f>
        <v>0.362441658793835</v>
      </c>
      <c r="D7" s="30" t="n">
        <f aca="false">Ratios!F67</f>
        <v>0.187510841283608</v>
      </c>
      <c r="E7" s="30" t="n">
        <f aca="false">Ratios!F96</f>
        <v>0.173670326973805</v>
      </c>
      <c r="F7" s="30" t="n">
        <f aca="false">Ratios!F125</f>
        <v>0.185374846374437</v>
      </c>
    </row>
    <row r="8" customFormat="false" ht="15" hidden="false" customHeight="false" outlineLevel="0" collapsed="false">
      <c r="A8" s="20" t="s">
        <v>42</v>
      </c>
      <c r="B8" s="30" t="n">
        <f aca="false">Ratios!G9</f>
        <v>0.23683275171255</v>
      </c>
      <c r="C8" s="30" t="n">
        <f aca="false">Ratios!G38</f>
        <v>0.370782547253136</v>
      </c>
      <c r="D8" s="30" t="n">
        <f aca="false">Ratios!G67</f>
        <v>0.193485972267011</v>
      </c>
      <c r="E8" s="30" t="n">
        <f aca="false">Ratios!G96</f>
        <v>0.188860397161429</v>
      </c>
      <c r="F8" s="30" t="n">
        <f aca="false">Ratios!G125</f>
        <v>0.209882937946752</v>
      </c>
    </row>
    <row r="9" customFormat="false" ht="15" hidden="false" customHeight="false" outlineLevel="0" collapsed="false">
      <c r="A9" s="20" t="s">
        <v>43</v>
      </c>
      <c r="B9" s="30" t="n">
        <f aca="false">Ratios!H9</f>
        <v>0.239662144534307</v>
      </c>
      <c r="C9" s="30" t="n">
        <f aca="false">Ratios!H38</f>
        <v>0.342949696639805</v>
      </c>
      <c r="D9" s="30" t="n">
        <f aca="false">Ratios!H67</f>
        <v>0.1843508716071</v>
      </c>
      <c r="E9" s="30" t="n">
        <f aca="false">Ratios!H96</f>
        <v>0.177004960151591</v>
      </c>
      <c r="F9" s="30" t="n">
        <f aca="false">Ratios!H125</f>
        <v>0.197488689871665</v>
      </c>
    </row>
    <row r="10" customFormat="false" ht="15" hidden="false" customHeight="false" outlineLevel="0" collapsed="false">
      <c r="A10" s="20" t="s">
        <v>44</v>
      </c>
      <c r="B10" s="30" t="n">
        <f aca="false">Ratios!I9</f>
        <v>0.233278525780232</v>
      </c>
      <c r="C10" s="30" t="n">
        <f aca="false">Ratios!I38</f>
        <v>0.346224070598976</v>
      </c>
      <c r="D10" s="30" t="n">
        <f aca="false">Ratios!I67</f>
        <v>0.185704540286516</v>
      </c>
      <c r="E10" s="30" t="n">
        <f aca="false">Ratios!I96</f>
        <v>0.183479532163743</v>
      </c>
      <c r="F10" s="30" t="n">
        <f aca="false">Ratios!I125</f>
        <v>0.171038130923518</v>
      </c>
    </row>
    <row r="13" customFormat="false" ht="15" hidden="false" customHeight="false" outlineLevel="0" collapsed="false">
      <c r="A13" s="31" t="s">
        <v>138</v>
      </c>
    </row>
    <row r="14" customFormat="false" ht="15" hidden="false" customHeight="false" outlineLevel="0" collapsed="false">
      <c r="A14" s="36" t="s">
        <v>146</v>
      </c>
      <c r="B14" s="9" t="s">
        <v>37</v>
      </c>
      <c r="C14" s="9" t="s">
        <v>81</v>
      </c>
      <c r="D14" s="9" t="s">
        <v>82</v>
      </c>
      <c r="E14" s="9" t="s">
        <v>83</v>
      </c>
      <c r="F14" s="9" t="s">
        <v>84</v>
      </c>
    </row>
    <row r="15" customFormat="false" ht="15" hidden="false" customHeight="false" outlineLevel="0" collapsed="false">
      <c r="A15" s="20" t="s">
        <v>40</v>
      </c>
      <c r="B15" s="30" t="n">
        <f aca="false">Ratios!E11</f>
        <v>0.183842456194759</v>
      </c>
      <c r="C15" s="30" t="n">
        <f aca="false">Ratios!E40</f>
        <v>0.252487744499275</v>
      </c>
      <c r="D15" s="30" t="n">
        <f aca="false">Ratios!E69</f>
        <v>0.217125763430138</v>
      </c>
      <c r="E15" s="30" t="n">
        <f aca="false">Ratios!E98</f>
        <v>0.496560759908287</v>
      </c>
      <c r="F15" s="30" t="n">
        <f aca="false">Ratios!E127</f>
        <v>0.380995749848209</v>
      </c>
    </row>
    <row r="16" customFormat="false" ht="15" hidden="false" customHeight="false" outlineLevel="0" collapsed="false">
      <c r="A16" s="20" t="s">
        <v>41</v>
      </c>
      <c r="B16" s="30" t="n">
        <f aca="false">Ratios!F11</f>
        <v>0.204156393096161</v>
      </c>
      <c r="C16" s="30" t="n">
        <f aca="false">Ratios!F40</f>
        <v>0.295980548590533</v>
      </c>
      <c r="D16" s="30" t="n">
        <f aca="false">Ratios!F69</f>
        <v>0.196024200518583</v>
      </c>
      <c r="E16" s="30" t="n">
        <f aca="false">Ratios!F98</f>
        <v>0.760341431385424</v>
      </c>
      <c r="F16" s="30" t="n">
        <f aca="false">Ratios!F127</f>
        <v>0.369945431649643</v>
      </c>
    </row>
    <row r="17" customFormat="false" ht="15" hidden="false" customHeight="false" outlineLevel="0" collapsed="false">
      <c r="A17" s="20" t="s">
        <v>42</v>
      </c>
      <c r="B17" s="30" t="n">
        <f aca="false">Ratios!G11</f>
        <v>0.202557081223774</v>
      </c>
      <c r="C17" s="30" t="n">
        <f aca="false">Ratios!G40</f>
        <v>0.28888641394384</v>
      </c>
      <c r="D17" s="30" t="n">
        <f aca="false">Ratios!G69</f>
        <v>0.19226073570784</v>
      </c>
      <c r="E17" s="30" t="n">
        <f aca="false">Ratios!G98</f>
        <v>0.570969899665552</v>
      </c>
      <c r="F17" s="30" t="n">
        <f aca="false">Ratios!G127</f>
        <v>0.393657449875508</v>
      </c>
    </row>
    <row r="18" customFormat="false" ht="15" hidden="false" customHeight="false" outlineLevel="0" collapsed="false">
      <c r="A18" s="20" t="s">
        <v>43</v>
      </c>
      <c r="B18" s="30" t="n">
        <f aca="false">Ratios!H11</f>
        <v>0.212104949314252</v>
      </c>
      <c r="C18" s="30" t="n">
        <f aca="false">Ratios!H40</f>
        <v>0.485024595778244</v>
      </c>
      <c r="D18" s="30" t="n">
        <f aca="false">Ratios!H69</f>
        <v>0.168392528791251</v>
      </c>
      <c r="E18" s="30" t="n">
        <f aca="false">Ratios!H98</f>
        <v>0.525009039411836</v>
      </c>
      <c r="F18" s="30" t="n">
        <f aca="false">Ratios!H127</f>
        <v>0.42474702190342</v>
      </c>
    </row>
    <row r="19" customFormat="false" ht="15" hidden="false" customHeight="false" outlineLevel="0" collapsed="false">
      <c r="A19" s="20" t="s">
        <v>44</v>
      </c>
      <c r="B19" s="30" t="n">
        <f aca="false">Ratios!I11</f>
        <v>0.306884992001304</v>
      </c>
      <c r="C19" s="30" t="n">
        <f aca="false">Ratios!I40</f>
        <v>0.294912899808471</v>
      </c>
      <c r="D19" s="30" t="n">
        <f aca="false">Ratios!I69</f>
        <v>0.168234393987128</v>
      </c>
      <c r="E19" s="30" t="n">
        <f aca="false">Ratios!I98</f>
        <v>0.536250264214754</v>
      </c>
      <c r="F19" s="30" t="n">
        <f aca="false">Ratios!I127</f>
        <v>0.443005497861943</v>
      </c>
    </row>
    <row r="22" customFormat="false" ht="15" hidden="false" customHeight="false" outlineLevel="0" collapsed="false">
      <c r="A22" s="31" t="s">
        <v>139</v>
      </c>
    </row>
    <row r="23" customFormat="false" ht="15" hidden="false" customHeight="false" outlineLevel="0" collapsed="false">
      <c r="A23" s="36" t="s">
        <v>146</v>
      </c>
      <c r="B23" s="9" t="s">
        <v>37</v>
      </c>
      <c r="C23" s="9" t="s">
        <v>81</v>
      </c>
      <c r="D23" s="9" t="s">
        <v>82</v>
      </c>
      <c r="E23" s="9" t="s">
        <v>83</v>
      </c>
      <c r="F23" s="9" t="s">
        <v>84</v>
      </c>
    </row>
    <row r="24" customFormat="false" ht="15" hidden="false" customHeight="false" outlineLevel="0" collapsed="false">
      <c r="A24" s="20" t="s">
        <v>40</v>
      </c>
      <c r="B24" s="30" t="n">
        <f aca="false">Ratios!E12</f>
        <v>0.245147170120068</v>
      </c>
      <c r="C24" s="30" t="n">
        <f aca="false">Ratios!E41</f>
        <v>0.337328295032517</v>
      </c>
      <c r="D24" s="30" t="n">
        <f aca="false">Ratios!E70</f>
        <v>0.262496445834518</v>
      </c>
      <c r="E24" s="30" t="n">
        <f aca="false">Ratios!E99</f>
        <v>0.415560127174116</v>
      </c>
      <c r="F24" s="30" t="n">
        <f aca="false">Ratios!E128</f>
        <v>0.432831881762998</v>
      </c>
    </row>
    <row r="25" customFormat="false" ht="15" hidden="false" customHeight="false" outlineLevel="0" collapsed="false">
      <c r="A25" s="20" t="s">
        <v>41</v>
      </c>
      <c r="B25" s="30" t="n">
        <f aca="false">Ratios!F12</f>
        <v>0.264850876243518</v>
      </c>
      <c r="C25" s="30" t="n">
        <f aca="false">Ratios!F41</f>
        <v>0.393341656263005</v>
      </c>
      <c r="D25" s="30" t="n">
        <f aca="false">Ratios!F70</f>
        <v>0.23487908379774</v>
      </c>
      <c r="E25" s="30" t="n">
        <f aca="false">Ratios!F99</f>
        <v>0.553500432152118</v>
      </c>
      <c r="F25" s="30" t="n">
        <f aca="false">Ratios!F128</f>
        <v>0.436968666504737</v>
      </c>
    </row>
    <row r="26" customFormat="false" ht="15" hidden="false" customHeight="false" outlineLevel="0" collapsed="false">
      <c r="A26" s="20" t="s">
        <v>42</v>
      </c>
      <c r="B26" s="30" t="n">
        <f aca="false">Ratios!G12</f>
        <v>0.273638762293116</v>
      </c>
      <c r="C26" s="30" t="n">
        <f aca="false">Ratios!G41</f>
        <v>0.374295596481621</v>
      </c>
      <c r="D26" s="30" t="n">
        <f aca="false">Ratios!G70</f>
        <v>0.232294882589578</v>
      </c>
      <c r="E26" s="30" t="n">
        <f aca="false">Ratios!G99</f>
        <v>0.490867033580601</v>
      </c>
      <c r="F26" s="30" t="n">
        <f aca="false">Ratios!G128</f>
        <v>0.458537698186381</v>
      </c>
    </row>
    <row r="27" customFormat="false" ht="15" hidden="false" customHeight="false" outlineLevel="0" collapsed="false">
      <c r="A27" s="20" t="s">
        <v>43</v>
      </c>
      <c r="B27" s="30" t="n">
        <f aca="false">Ratios!H12</f>
        <v>0.285295705143033</v>
      </c>
      <c r="C27" s="30" t="n">
        <f aca="false">Ratios!H41</f>
        <v>0.578645994832041</v>
      </c>
      <c r="D27" s="30" t="n">
        <f aca="false">Ratios!H70</f>
        <v>0.210782820590923</v>
      </c>
      <c r="E27" s="30" t="n">
        <f aca="false">Ratios!H99</f>
        <v>0.528210870876045</v>
      </c>
      <c r="F27" s="30" t="n">
        <f aca="false">Ratios!H128</f>
        <v>0.488018899763753</v>
      </c>
    </row>
    <row r="28" customFormat="false" ht="15" hidden="false" customHeight="false" outlineLevel="0" collapsed="false">
      <c r="A28" s="20" t="s">
        <v>44</v>
      </c>
      <c r="B28" s="30" t="n">
        <f aca="false">Ratios!I12</f>
        <v>0.367918472947752</v>
      </c>
      <c r="C28" s="30" t="n">
        <f aca="false">Ratios!I41</f>
        <v>0.387244269079541</v>
      </c>
      <c r="D28" s="30" t="n">
        <f aca="false">Ratios!I70</f>
        <v>0.209764474975466</v>
      </c>
      <c r="E28" s="30" t="n">
        <f aca="false">Ratios!I99</f>
        <v>0.562825709322525</v>
      </c>
      <c r="F28" s="30" t="n">
        <f aca="false">Ratios!I128</f>
        <v>0.501290877796902</v>
      </c>
    </row>
    <row r="31" customFormat="false" ht="15" hidden="false" customHeight="false" outlineLevel="0" collapsed="false">
      <c r="A31" s="31" t="s">
        <v>91</v>
      </c>
    </row>
    <row r="32" customFormat="false" ht="15" hidden="false" customHeight="false" outlineLevel="0" collapsed="false">
      <c r="A32" s="36" t="s">
        <v>146</v>
      </c>
      <c r="B32" s="9" t="s">
        <v>37</v>
      </c>
      <c r="C32" s="9" t="s">
        <v>81</v>
      </c>
      <c r="D32" s="9" t="s">
        <v>82</v>
      </c>
      <c r="E32" s="9" t="s">
        <v>83</v>
      </c>
      <c r="F32" s="9" t="s">
        <v>84</v>
      </c>
    </row>
    <row r="33" customFormat="false" ht="15" hidden="false" customHeight="false" outlineLevel="0" collapsed="false">
      <c r="A33" s="20" t="s">
        <v>40</v>
      </c>
      <c r="B33" s="30" t="n">
        <f aca="false">Ratios!E6</f>
        <v>0.115207961214596</v>
      </c>
      <c r="C33" s="30" t="n">
        <f aca="false">Ratios!E35</f>
        <v>0.231195566112431</v>
      </c>
      <c r="D33" s="30" t="n">
        <f aca="false">Ratios!E64</f>
        <v>0.138778498222129</v>
      </c>
      <c r="E33" s="30" t="n">
        <f aca="false">Ratios!E93</f>
        <v>0.0761266747868452</v>
      </c>
      <c r="F33" s="30" t="n">
        <f aca="false">Ratios!E122</f>
        <v>0.181908548707753</v>
      </c>
    </row>
    <row r="34" customFormat="false" ht="15" hidden="false" customHeight="false" outlineLevel="0" collapsed="false">
      <c r="A34" s="20" t="s">
        <v>41</v>
      </c>
      <c r="B34" s="30" t="n">
        <f aca="false">Ratios!F6</f>
        <v>0.155092857415246</v>
      </c>
      <c r="C34" s="30" t="n">
        <f aca="false">Ratios!F35</f>
        <v>0.169412152691895</v>
      </c>
      <c r="D34" s="30" t="n">
        <f aca="false">Ratios!F64</f>
        <v>0.0588667462576913</v>
      </c>
      <c r="E34" s="30" t="n">
        <f aca="false">Ratios!F93</f>
        <v>0.15315506508206</v>
      </c>
      <c r="F34" s="30" t="n">
        <f aca="false">Ratios!F122</f>
        <v>0.0264928511354079</v>
      </c>
    </row>
    <row r="35" customFormat="false" ht="15" hidden="false" customHeight="false" outlineLevel="0" collapsed="false">
      <c r="A35" s="20" t="s">
        <v>42</v>
      </c>
      <c r="B35" s="30" t="n">
        <f aca="false">Ratios!G6</f>
        <v>0.0217233410366458</v>
      </c>
      <c r="C35" s="30" t="n">
        <f aca="false">Ratios!G35</f>
        <v>-0.0421184731877212</v>
      </c>
      <c r="D35" s="30" t="n">
        <f aca="false">Ratios!G64</f>
        <v>0.0758022549869906</v>
      </c>
      <c r="E35" s="30" t="n">
        <f aca="false">Ratios!G93</f>
        <v>0.0287098950984601</v>
      </c>
      <c r="F35" s="30" t="n">
        <f aca="false">Ratios!G122</f>
        <v>-0.0113682916837362</v>
      </c>
    </row>
    <row r="36" customFormat="false" ht="15" hidden="false" customHeight="false" outlineLevel="0" collapsed="false">
      <c r="A36" s="20" t="s">
        <v>43</v>
      </c>
      <c r="B36" s="30" t="n">
        <f aca="false">Ratios!H6</f>
        <v>-0.00917668346904488</v>
      </c>
      <c r="C36" s="30" t="n">
        <f aca="false">Ratios!H35</f>
        <v>0.108799976447035</v>
      </c>
      <c r="D36" s="30" t="n">
        <f aca="false">Ratios!H64</f>
        <v>0.0128184456626894</v>
      </c>
      <c r="E36" s="30" t="n">
        <f aca="false">Ratios!H93</f>
        <v>0.0700101377541893</v>
      </c>
      <c r="F36" s="30" t="n">
        <f aca="false">Ratios!H122</f>
        <v>0.122034600642287</v>
      </c>
    </row>
    <row r="37" customFormat="false" ht="15" hidden="false" customHeight="false" outlineLevel="0" collapsed="false">
      <c r="A37" s="20" t="s">
        <v>44</v>
      </c>
      <c r="B37" s="30" t="n">
        <f aca="false">Ratios!I6</f>
        <v>0.0512001043569006</v>
      </c>
      <c r="C37" s="30" t="n">
        <f aca="false">Ratios!I35</f>
        <v>0.047063977802265</v>
      </c>
      <c r="D37" s="30" t="n">
        <f aca="false">Ratios!I64</f>
        <v>0.0501472578205842</v>
      </c>
      <c r="E37" s="30" t="n">
        <f aca="false">Ratios!I93</f>
        <v>0.0673800367831465</v>
      </c>
      <c r="F37" s="30" t="n">
        <f aca="false">Ratios!I122</f>
        <v>0.256670667528391</v>
      </c>
    </row>
    <row r="40" customFormat="false" ht="15" hidden="false" customHeight="false" outlineLevel="0" collapsed="false">
      <c r="A40" s="31" t="s">
        <v>112</v>
      </c>
    </row>
    <row r="41" customFormat="false" ht="15" hidden="false" customHeight="false" outlineLevel="0" collapsed="false">
      <c r="A41" s="36" t="s">
        <v>146</v>
      </c>
      <c r="B41" s="9" t="s">
        <v>37</v>
      </c>
      <c r="C41" s="9" t="s">
        <v>81</v>
      </c>
      <c r="D41" s="9" t="s">
        <v>82</v>
      </c>
      <c r="E41" s="9" t="s">
        <v>83</v>
      </c>
      <c r="F41" s="9" t="s">
        <v>84</v>
      </c>
    </row>
    <row r="42" customFormat="false" ht="15" hidden="false" customHeight="false" outlineLevel="0" collapsed="false">
      <c r="A42" s="20" t="s">
        <v>40</v>
      </c>
      <c r="B42" s="27" t="n">
        <f aca="false">Ratios!E19</f>
        <v>-64</v>
      </c>
      <c r="C42" s="27" t="n">
        <f aca="false">Ratios!E48</f>
        <v>104</v>
      </c>
      <c r="D42" s="27" t="n">
        <f aca="false">Ratios!E77</f>
        <v>13</v>
      </c>
      <c r="E42" s="27" t="n">
        <f aca="false">Ratios!E106</f>
        <v>11</v>
      </c>
      <c r="F42" s="27" t="n">
        <f aca="false">Ratios!E135</f>
        <v>30</v>
      </c>
    </row>
    <row r="43" customFormat="false" ht="15" hidden="false" customHeight="false" outlineLevel="0" collapsed="false">
      <c r="A43" s="20" t="s">
        <v>41</v>
      </c>
      <c r="B43" s="27" t="n">
        <f aca="false">Ratios!F19</f>
        <v>-49</v>
      </c>
      <c r="C43" s="27" t="n">
        <f aca="false">Ratios!F48</f>
        <v>104</v>
      </c>
      <c r="D43" s="27" t="n">
        <f aca="false">Ratios!F77</f>
        <v>14</v>
      </c>
      <c r="E43" s="27" t="n">
        <f aca="false">Ratios!F106</f>
        <v>-3</v>
      </c>
      <c r="F43" s="27" t="n">
        <f aca="false">Ratios!F135</f>
        <v>20</v>
      </c>
    </row>
    <row r="44" customFormat="false" ht="15" hidden="false" customHeight="false" outlineLevel="0" collapsed="false">
      <c r="A44" s="20" t="s">
        <v>42</v>
      </c>
      <c r="B44" s="27" t="n">
        <f aca="false">Ratios!G19</f>
        <v>-70</v>
      </c>
      <c r="C44" s="27" t="n">
        <f aca="false">Ratios!G48</f>
        <v>148</v>
      </c>
      <c r="D44" s="27" t="n">
        <f aca="false">Ratios!G77</f>
        <v>-11</v>
      </c>
      <c r="E44" s="27" t="n">
        <f aca="false">Ratios!G106</f>
        <v>-9</v>
      </c>
      <c r="F44" s="27" t="n">
        <f aca="false">Ratios!G135</f>
        <v>19</v>
      </c>
    </row>
    <row r="45" customFormat="false" ht="15" hidden="false" customHeight="false" outlineLevel="0" collapsed="false">
      <c r="A45" s="20" t="s">
        <v>43</v>
      </c>
      <c r="B45" s="27" t="n">
        <f aca="false">Ratios!H19</f>
        <v>-72</v>
      </c>
      <c r="C45" s="27" t="n">
        <f aca="false">Ratios!H48</f>
        <v>146</v>
      </c>
      <c r="D45" s="27" t="n">
        <f aca="false">Ratios!H77</f>
        <v>-14</v>
      </c>
      <c r="E45" s="27" t="n">
        <f aca="false">Ratios!H106</f>
        <v>-8</v>
      </c>
      <c r="F45" s="27" t="n">
        <f aca="false">Ratios!H135</f>
        <v>33</v>
      </c>
    </row>
    <row r="46" customFormat="false" ht="15" hidden="false" customHeight="false" outlineLevel="0" collapsed="false">
      <c r="A46" s="20" t="s">
        <v>44</v>
      </c>
      <c r="B46" s="27" t="n">
        <f aca="false">Ratios!I19</f>
        <v>-89</v>
      </c>
      <c r="C46" s="27" t="n">
        <f aca="false">Ratios!I48</f>
        <v>164</v>
      </c>
      <c r="D46" s="27" t="n">
        <f aca="false">Ratios!I77</f>
        <v>-26</v>
      </c>
      <c r="E46" s="27" t="n">
        <f aca="false">Ratios!I106</f>
        <v>-9</v>
      </c>
      <c r="F46" s="27" t="n">
        <f aca="false">Ratios!I135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2026-09-26T08:43:25Z</dcterms:created>
  <dc:creator>openpyxl</dc:creator>
  <dc:description/>
  <dc:language>en-US</dc:language>
  <cp:lastModifiedBy/>
  <dcterms:modified xsi:type="dcterms:W3CDTF">2026-09-26T08:43:26Z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