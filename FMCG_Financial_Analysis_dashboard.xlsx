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RITI KACHROO\Downloads\"/>
    </mc:Choice>
  </mc:AlternateContent>
  <xr:revisionPtr revIDLastSave="0" documentId="8_{9CCEE515-B149-4A9E-87DB-6EA3D4EF5A0E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Notes" sheetId="1" r:id="rId1"/>
    <sheet name="Dashboard" sheetId="2" r:id="rId2"/>
    <sheet name="Financials" sheetId="3" state="hidden" r:id="rId3"/>
    <sheet name="Ratios" sheetId="4" state="hidden" r:id="rId4"/>
    <sheet name="Comparison" sheetId="5" state="hidden" r:id="rId5"/>
    <sheet name="Charts" sheetId="6" state="hidden" r:id="rId6"/>
    <sheet name="Calc" sheetId="7" state="hidden" r:id="rId7"/>
  </sheets>
  <definedNames>
    <definedName name="_xlnm.Print_Area" localSheetId="1">Dashboard!$A$1:$N$64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6" i="7" l="1"/>
  <c r="C85" i="7"/>
  <c r="C84" i="7"/>
  <c r="C82" i="7"/>
  <c r="C81" i="7"/>
  <c r="C77" i="7"/>
  <c r="C76" i="7"/>
  <c r="C75" i="7"/>
  <c r="C74" i="7"/>
  <c r="H71" i="7"/>
  <c r="G71" i="7"/>
  <c r="F71" i="7"/>
  <c r="E71" i="7"/>
  <c r="D71" i="7"/>
  <c r="C71" i="7"/>
  <c r="H70" i="7"/>
  <c r="G70" i="7"/>
  <c r="F70" i="7"/>
  <c r="E70" i="7"/>
  <c r="D70" i="7"/>
  <c r="C70" i="7"/>
  <c r="C69" i="7"/>
  <c r="C68" i="7"/>
  <c r="C67" i="7"/>
  <c r="C65" i="7"/>
  <c r="C64" i="7"/>
  <c r="C60" i="7"/>
  <c r="C59" i="7"/>
  <c r="C58" i="7"/>
  <c r="C57" i="7"/>
  <c r="H54" i="7"/>
  <c r="G54" i="7"/>
  <c r="F54" i="7"/>
  <c r="E54" i="7"/>
  <c r="D54" i="7"/>
  <c r="C54" i="7"/>
  <c r="H53" i="7"/>
  <c r="G53" i="7"/>
  <c r="F53" i="7"/>
  <c r="E53" i="7"/>
  <c r="D53" i="7"/>
  <c r="C53" i="7"/>
  <c r="C52" i="7"/>
  <c r="C51" i="7"/>
  <c r="C50" i="7"/>
  <c r="C48" i="7"/>
  <c r="C47" i="7"/>
  <c r="C43" i="7"/>
  <c r="C42" i="7"/>
  <c r="C41" i="7"/>
  <c r="C40" i="7"/>
  <c r="H37" i="7"/>
  <c r="G37" i="7"/>
  <c r="F37" i="7"/>
  <c r="E37" i="7"/>
  <c r="D37" i="7"/>
  <c r="C37" i="7"/>
  <c r="H36" i="7"/>
  <c r="G36" i="7"/>
  <c r="F36" i="7"/>
  <c r="E36" i="7"/>
  <c r="D36" i="7"/>
  <c r="C36" i="7"/>
  <c r="C35" i="7"/>
  <c r="C34" i="7"/>
  <c r="C33" i="7"/>
  <c r="C31" i="7"/>
  <c r="C30" i="7"/>
  <c r="C26" i="7"/>
  <c r="C25" i="7"/>
  <c r="C24" i="7"/>
  <c r="C23" i="7"/>
  <c r="H20" i="7"/>
  <c r="G20" i="7"/>
  <c r="F20" i="7"/>
  <c r="E20" i="7"/>
  <c r="D20" i="7"/>
  <c r="C20" i="7"/>
  <c r="H19" i="7"/>
  <c r="G19" i="7"/>
  <c r="F19" i="7"/>
  <c r="E19" i="7"/>
  <c r="D19" i="7"/>
  <c r="C19" i="7"/>
  <c r="C18" i="7"/>
  <c r="C17" i="7"/>
  <c r="C16" i="7"/>
  <c r="C14" i="7"/>
  <c r="C13" i="7"/>
  <c r="C9" i="7"/>
  <c r="C8" i="7"/>
  <c r="C7" i="7"/>
  <c r="C6" i="7"/>
  <c r="H3" i="7"/>
  <c r="G3" i="7"/>
  <c r="F3" i="7"/>
  <c r="E3" i="7"/>
  <c r="D3" i="7"/>
  <c r="C3" i="7"/>
  <c r="H2" i="7"/>
  <c r="G2" i="7"/>
  <c r="F2" i="7"/>
  <c r="E2" i="7"/>
  <c r="D2" i="7"/>
  <c r="C2" i="7"/>
  <c r="K1" i="7"/>
  <c r="F7" i="5"/>
  <c r="F41" i="5" s="1"/>
  <c r="E7" i="5"/>
  <c r="E41" i="5" s="1"/>
  <c r="D7" i="5"/>
  <c r="D41" i="5" s="1"/>
  <c r="C7" i="5"/>
  <c r="C41" i="5" s="1"/>
  <c r="B7" i="5"/>
  <c r="B41" i="5" s="1"/>
  <c r="F6" i="5"/>
  <c r="E6" i="5"/>
  <c r="E40" i="5" s="1"/>
  <c r="D6" i="5"/>
  <c r="C6" i="5"/>
  <c r="C40" i="5" s="1"/>
  <c r="B6" i="5"/>
  <c r="B40" i="5" s="1"/>
  <c r="H145" i="4"/>
  <c r="G84" i="7" s="1"/>
  <c r="G145" i="4"/>
  <c r="F84" i="7" s="1"/>
  <c r="I144" i="4"/>
  <c r="H83" i="7" s="1"/>
  <c r="H144" i="4"/>
  <c r="G83" i="7" s="1"/>
  <c r="G144" i="4"/>
  <c r="F83" i="7" s="1"/>
  <c r="F144" i="4"/>
  <c r="E83" i="7" s="1"/>
  <c r="E144" i="4"/>
  <c r="D83" i="7" s="1"/>
  <c r="D144" i="4"/>
  <c r="C83" i="7" s="1"/>
  <c r="I142" i="4"/>
  <c r="F19" i="5" s="1"/>
  <c r="H142" i="4"/>
  <c r="G142" i="4"/>
  <c r="F142" i="4"/>
  <c r="E142" i="4"/>
  <c r="J142" i="4" s="1"/>
  <c r="F35" i="5" s="1"/>
  <c r="D142" i="4"/>
  <c r="J141" i="4"/>
  <c r="F34" i="5" s="1"/>
  <c r="I141" i="4"/>
  <c r="H141" i="4"/>
  <c r="G80" i="7" s="1"/>
  <c r="G141" i="4"/>
  <c r="F80" i="7" s="1"/>
  <c r="F141" i="4"/>
  <c r="E80" i="7" s="1"/>
  <c r="E141" i="4"/>
  <c r="D80" i="7" s="1"/>
  <c r="D141" i="4"/>
  <c r="C80" i="7" s="1"/>
  <c r="I140" i="4"/>
  <c r="F17" i="5" s="1"/>
  <c r="H140" i="4"/>
  <c r="G140" i="4"/>
  <c r="F140" i="4"/>
  <c r="E140" i="4"/>
  <c r="D140" i="4"/>
  <c r="I137" i="4"/>
  <c r="H79" i="7" s="1"/>
  <c r="H137" i="4"/>
  <c r="G79" i="7" s="1"/>
  <c r="H135" i="4"/>
  <c r="I134" i="4"/>
  <c r="H134" i="4"/>
  <c r="G134" i="4"/>
  <c r="G135" i="4" s="1"/>
  <c r="F134" i="4"/>
  <c r="E134" i="4"/>
  <c r="J134" i="4" s="1"/>
  <c r="D134" i="4"/>
  <c r="I133" i="4"/>
  <c r="H133" i="4"/>
  <c r="G133" i="4"/>
  <c r="F133" i="4"/>
  <c r="F135" i="4" s="1"/>
  <c r="E133" i="4"/>
  <c r="J133" i="4" s="1"/>
  <c r="D133" i="4"/>
  <c r="I132" i="4"/>
  <c r="I135" i="4" s="1"/>
  <c r="H132" i="4"/>
  <c r="G132" i="4"/>
  <c r="F132" i="4"/>
  <c r="E132" i="4"/>
  <c r="E135" i="4" s="1"/>
  <c r="D132" i="4"/>
  <c r="D135" i="4" s="1"/>
  <c r="C78" i="7" s="1"/>
  <c r="H131" i="4"/>
  <c r="G77" i="7" s="1"/>
  <c r="H129" i="4"/>
  <c r="G76" i="7" s="1"/>
  <c r="G129" i="4"/>
  <c r="F76" i="7" s="1"/>
  <c r="J126" i="4"/>
  <c r="F25" i="5" s="1"/>
  <c r="I126" i="4"/>
  <c r="H73" i="7" s="1"/>
  <c r="H126" i="4"/>
  <c r="G73" i="7" s="1"/>
  <c r="G126" i="4"/>
  <c r="F73" i="7" s="1"/>
  <c r="F126" i="4"/>
  <c r="E73" i="7" s="1"/>
  <c r="E126" i="4"/>
  <c r="D73" i="7" s="1"/>
  <c r="D126" i="4"/>
  <c r="C73" i="7" s="1"/>
  <c r="I125" i="4"/>
  <c r="H125" i="4"/>
  <c r="G125" i="4"/>
  <c r="F125" i="4"/>
  <c r="E125" i="4"/>
  <c r="D125" i="4"/>
  <c r="C72" i="7" s="1"/>
  <c r="I123" i="4"/>
  <c r="H82" i="7" s="1"/>
  <c r="H123" i="4"/>
  <c r="G82" i="7" s="1"/>
  <c r="G123" i="4"/>
  <c r="F82" i="7" s="1"/>
  <c r="F123" i="4"/>
  <c r="E82" i="7" s="1"/>
  <c r="E123" i="4"/>
  <c r="D82" i="7" s="1"/>
  <c r="I122" i="4"/>
  <c r="H122" i="4"/>
  <c r="G122" i="4"/>
  <c r="F122" i="4"/>
  <c r="E122" i="4"/>
  <c r="F116" i="4"/>
  <c r="E67" i="7" s="1"/>
  <c r="I115" i="4"/>
  <c r="H66" i="7" s="1"/>
  <c r="H115" i="4"/>
  <c r="G66" i="7" s="1"/>
  <c r="G115" i="4"/>
  <c r="F66" i="7" s="1"/>
  <c r="F115" i="4"/>
  <c r="E66" i="7" s="1"/>
  <c r="E115" i="4"/>
  <c r="D66" i="7" s="1"/>
  <c r="D115" i="4"/>
  <c r="C66" i="7" s="1"/>
  <c r="I113" i="4"/>
  <c r="E19" i="5" s="1"/>
  <c r="H113" i="4"/>
  <c r="G113" i="4"/>
  <c r="F113" i="4"/>
  <c r="E113" i="4"/>
  <c r="J113" i="4" s="1"/>
  <c r="E35" i="5" s="1"/>
  <c r="D113" i="4"/>
  <c r="I112" i="4"/>
  <c r="H63" i="7" s="1"/>
  <c r="H112" i="4"/>
  <c r="G63" i="7" s="1"/>
  <c r="G112" i="4"/>
  <c r="F63" i="7" s="1"/>
  <c r="F112" i="4"/>
  <c r="E63" i="7" s="1"/>
  <c r="E112" i="4"/>
  <c r="D63" i="7" s="1"/>
  <c r="D112" i="4"/>
  <c r="C63" i="7" s="1"/>
  <c r="I111" i="4"/>
  <c r="E17" i="5" s="1"/>
  <c r="H111" i="4"/>
  <c r="G111" i="4"/>
  <c r="F111" i="4"/>
  <c r="E111" i="4"/>
  <c r="J111" i="4" s="1"/>
  <c r="E33" i="5" s="1"/>
  <c r="D111" i="4"/>
  <c r="I109" i="4"/>
  <c r="E16" i="5" s="1"/>
  <c r="H109" i="4"/>
  <c r="H108" i="4"/>
  <c r="G62" i="7" s="1"/>
  <c r="G108" i="4"/>
  <c r="F62" i="7" s="1"/>
  <c r="I105" i="4"/>
  <c r="I106" i="4" s="1"/>
  <c r="H105" i="4"/>
  <c r="G105" i="4"/>
  <c r="F105" i="4"/>
  <c r="E105" i="4"/>
  <c r="J105" i="4" s="1"/>
  <c r="D105" i="4"/>
  <c r="I104" i="4"/>
  <c r="H104" i="4"/>
  <c r="H106" i="4" s="1"/>
  <c r="G104" i="4"/>
  <c r="F104" i="4"/>
  <c r="E104" i="4"/>
  <c r="J104" i="4" s="1"/>
  <c r="D104" i="4"/>
  <c r="I103" i="4"/>
  <c r="H103" i="4"/>
  <c r="G103" i="4"/>
  <c r="G106" i="4" s="1"/>
  <c r="F103" i="4"/>
  <c r="F106" i="4" s="1"/>
  <c r="E103" i="4"/>
  <c r="E106" i="4" s="1"/>
  <c r="D103" i="4"/>
  <c r="D106" i="4" s="1"/>
  <c r="C61" i="7" s="1"/>
  <c r="F102" i="4"/>
  <c r="E60" i="7" s="1"/>
  <c r="E102" i="4"/>
  <c r="D60" i="7" s="1"/>
  <c r="H98" i="4"/>
  <c r="G98" i="4"/>
  <c r="I97" i="4"/>
  <c r="H97" i="4"/>
  <c r="G56" i="7" s="1"/>
  <c r="G97" i="4"/>
  <c r="F56" i="7" s="1"/>
  <c r="F97" i="4"/>
  <c r="E56" i="7" s="1"/>
  <c r="E97" i="4"/>
  <c r="D56" i="7" s="1"/>
  <c r="D97" i="4"/>
  <c r="C56" i="7" s="1"/>
  <c r="I96" i="4"/>
  <c r="H96" i="4"/>
  <c r="G96" i="4"/>
  <c r="F55" i="7" s="1"/>
  <c r="F96" i="4"/>
  <c r="E96" i="4"/>
  <c r="J96" i="4" s="1"/>
  <c r="E24" i="5" s="1"/>
  <c r="D96" i="4"/>
  <c r="C55" i="7" s="1"/>
  <c r="J94" i="4"/>
  <c r="I94" i="4"/>
  <c r="H65" i="7" s="1"/>
  <c r="H94" i="4"/>
  <c r="G65" i="7" s="1"/>
  <c r="G94" i="4"/>
  <c r="F65" i="7" s="1"/>
  <c r="F94" i="4"/>
  <c r="E65" i="7" s="1"/>
  <c r="E94" i="4"/>
  <c r="D65" i="7" s="1"/>
  <c r="J93" i="4"/>
  <c r="I93" i="4"/>
  <c r="H93" i="4"/>
  <c r="G64" i="7" s="1"/>
  <c r="G93" i="4"/>
  <c r="F93" i="4"/>
  <c r="E93" i="4"/>
  <c r="J86" i="4"/>
  <c r="I86" i="4"/>
  <c r="H49" i="7" s="1"/>
  <c r="H86" i="4"/>
  <c r="G49" i="7" s="1"/>
  <c r="G86" i="4"/>
  <c r="F49" i="7" s="1"/>
  <c r="F86" i="4"/>
  <c r="E49" i="7" s="1"/>
  <c r="E86" i="4"/>
  <c r="D49" i="7" s="1"/>
  <c r="D86" i="4"/>
  <c r="C49" i="7" s="1"/>
  <c r="I84" i="4"/>
  <c r="D19" i="5" s="1"/>
  <c r="H84" i="4"/>
  <c r="G84" i="4"/>
  <c r="F84" i="4"/>
  <c r="E84" i="4"/>
  <c r="J84" i="4" s="1"/>
  <c r="D35" i="5" s="1"/>
  <c r="D84" i="4"/>
  <c r="I83" i="4"/>
  <c r="H83" i="4"/>
  <c r="G46" i="7" s="1"/>
  <c r="G83" i="4"/>
  <c r="F46" i="7" s="1"/>
  <c r="F83" i="4"/>
  <c r="E46" i="7" s="1"/>
  <c r="E83" i="4"/>
  <c r="D46" i="7" s="1"/>
  <c r="D83" i="4"/>
  <c r="C46" i="7" s="1"/>
  <c r="I82" i="4"/>
  <c r="D17" i="5" s="1"/>
  <c r="H82" i="4"/>
  <c r="G82" i="4"/>
  <c r="F82" i="4"/>
  <c r="E82" i="4"/>
  <c r="J82" i="4" s="1"/>
  <c r="D33" i="5" s="1"/>
  <c r="D82" i="4"/>
  <c r="F80" i="4"/>
  <c r="E79" i="4"/>
  <c r="D45" i="7" s="1"/>
  <c r="D79" i="4"/>
  <c r="C45" i="7" s="1"/>
  <c r="D77" i="4"/>
  <c r="C44" i="7" s="1"/>
  <c r="J76" i="4"/>
  <c r="I76" i="4"/>
  <c r="H76" i="4"/>
  <c r="G76" i="4"/>
  <c r="F76" i="4"/>
  <c r="E76" i="4"/>
  <c r="D76" i="4"/>
  <c r="J75" i="4"/>
  <c r="I75" i="4"/>
  <c r="H75" i="4"/>
  <c r="G75" i="4"/>
  <c r="F75" i="4"/>
  <c r="E75" i="4"/>
  <c r="D75" i="4"/>
  <c r="I74" i="4"/>
  <c r="I77" i="4" s="1"/>
  <c r="H74" i="4"/>
  <c r="H77" i="4" s="1"/>
  <c r="G74" i="4"/>
  <c r="G77" i="4" s="1"/>
  <c r="F74" i="4"/>
  <c r="F77" i="4" s="1"/>
  <c r="E74" i="4"/>
  <c r="E77" i="4" s="1"/>
  <c r="D74" i="4"/>
  <c r="F69" i="4"/>
  <c r="I68" i="4"/>
  <c r="H39" i="7" s="1"/>
  <c r="H68" i="4"/>
  <c r="G39" i="7" s="1"/>
  <c r="G68" i="4"/>
  <c r="F39" i="7" s="1"/>
  <c r="F68" i="4"/>
  <c r="E39" i="7" s="1"/>
  <c r="E68" i="4"/>
  <c r="D39" i="7" s="1"/>
  <c r="D68" i="4"/>
  <c r="C39" i="7" s="1"/>
  <c r="I67" i="4"/>
  <c r="H67" i="4"/>
  <c r="G67" i="4"/>
  <c r="F67" i="4"/>
  <c r="E67" i="4"/>
  <c r="D67" i="4"/>
  <c r="C38" i="7" s="1"/>
  <c r="I65" i="4"/>
  <c r="H48" i="7" s="1"/>
  <c r="H65" i="4"/>
  <c r="G48" i="7" s="1"/>
  <c r="G65" i="4"/>
  <c r="F48" i="7" s="1"/>
  <c r="F65" i="4"/>
  <c r="E48" i="7" s="1"/>
  <c r="E65" i="4"/>
  <c r="D48" i="7" s="1"/>
  <c r="J64" i="4"/>
  <c r="I64" i="4"/>
  <c r="H64" i="4"/>
  <c r="G64" i="4"/>
  <c r="F64" i="4"/>
  <c r="E64" i="4"/>
  <c r="D47" i="7" s="1"/>
  <c r="J57" i="4"/>
  <c r="I57" i="4"/>
  <c r="H32" i="7" s="1"/>
  <c r="H57" i="4"/>
  <c r="G32" i="7" s="1"/>
  <c r="G57" i="4"/>
  <c r="F32" i="7" s="1"/>
  <c r="F57" i="4"/>
  <c r="E32" i="7" s="1"/>
  <c r="E57" i="4"/>
  <c r="D32" i="7" s="1"/>
  <c r="D57" i="4"/>
  <c r="C32" i="7" s="1"/>
  <c r="J55" i="4"/>
  <c r="C35" i="5" s="1"/>
  <c r="I55" i="4"/>
  <c r="C19" i="5" s="1"/>
  <c r="H55" i="4"/>
  <c r="G55" i="4"/>
  <c r="F55" i="4"/>
  <c r="E55" i="4"/>
  <c r="D55" i="4"/>
  <c r="J54" i="4"/>
  <c r="C34" i="5" s="1"/>
  <c r="I54" i="4"/>
  <c r="H29" i="7" s="1"/>
  <c r="H54" i="4"/>
  <c r="G29" i="7" s="1"/>
  <c r="G54" i="4"/>
  <c r="F29" i="7" s="1"/>
  <c r="F54" i="4"/>
  <c r="E29" i="7" s="1"/>
  <c r="E54" i="4"/>
  <c r="D29" i="7" s="1"/>
  <c r="D54" i="4"/>
  <c r="C29" i="7" s="1"/>
  <c r="I53" i="4"/>
  <c r="C17" i="5" s="1"/>
  <c r="H53" i="4"/>
  <c r="G53" i="4"/>
  <c r="F53" i="4"/>
  <c r="E53" i="4"/>
  <c r="J53" i="4" s="1"/>
  <c r="C33" i="5" s="1"/>
  <c r="D53" i="4"/>
  <c r="F51" i="4"/>
  <c r="E51" i="4"/>
  <c r="D51" i="4"/>
  <c r="D50" i="4"/>
  <c r="C28" i="7" s="1"/>
  <c r="F48" i="4"/>
  <c r="I47" i="4"/>
  <c r="H47" i="4"/>
  <c r="G47" i="4"/>
  <c r="F47" i="4"/>
  <c r="E47" i="4"/>
  <c r="E48" i="4" s="1"/>
  <c r="D47" i="4"/>
  <c r="I46" i="4"/>
  <c r="J46" i="4" s="1"/>
  <c r="H46" i="4"/>
  <c r="G46" i="4"/>
  <c r="F46" i="4"/>
  <c r="E46" i="4"/>
  <c r="D46" i="4"/>
  <c r="D48" i="4" s="1"/>
  <c r="C27" i="7" s="1"/>
  <c r="I45" i="4"/>
  <c r="I48" i="4" s="1"/>
  <c r="H45" i="4"/>
  <c r="H48" i="4" s="1"/>
  <c r="G45" i="4"/>
  <c r="G48" i="4" s="1"/>
  <c r="F45" i="4"/>
  <c r="E45" i="4"/>
  <c r="D45" i="4"/>
  <c r="I44" i="4"/>
  <c r="I39" i="4"/>
  <c r="H39" i="4"/>
  <c r="G22" i="7" s="1"/>
  <c r="G39" i="4"/>
  <c r="F22" i="7" s="1"/>
  <c r="F39" i="4"/>
  <c r="E22" i="7" s="1"/>
  <c r="E39" i="4"/>
  <c r="D22" i="7" s="1"/>
  <c r="D39" i="4"/>
  <c r="C22" i="7" s="1"/>
  <c r="I38" i="4"/>
  <c r="H21" i="7" s="1"/>
  <c r="H38" i="4"/>
  <c r="G38" i="4"/>
  <c r="F38" i="4"/>
  <c r="E38" i="4"/>
  <c r="D38" i="4"/>
  <c r="C21" i="7" s="1"/>
  <c r="I36" i="4"/>
  <c r="H31" i="7" s="1"/>
  <c r="H36" i="4"/>
  <c r="G31" i="7" s="1"/>
  <c r="G36" i="4"/>
  <c r="F31" i="7" s="1"/>
  <c r="F36" i="4"/>
  <c r="E31" i="7" s="1"/>
  <c r="E36" i="4"/>
  <c r="D31" i="7" s="1"/>
  <c r="I35" i="4"/>
  <c r="H35" i="4"/>
  <c r="G35" i="4"/>
  <c r="F35" i="4"/>
  <c r="E35" i="4"/>
  <c r="J35" i="4" s="1"/>
  <c r="H29" i="4"/>
  <c r="G16" i="7" s="1"/>
  <c r="G29" i="4"/>
  <c r="F16" i="7" s="1"/>
  <c r="I28" i="4"/>
  <c r="H15" i="7" s="1"/>
  <c r="H28" i="4"/>
  <c r="G15" i="7" s="1"/>
  <c r="G28" i="4"/>
  <c r="F15" i="7" s="1"/>
  <c r="F28" i="4"/>
  <c r="E15" i="7" s="1"/>
  <c r="E28" i="4"/>
  <c r="D15" i="7" s="1"/>
  <c r="D28" i="4"/>
  <c r="C15" i="7" s="1"/>
  <c r="J26" i="4"/>
  <c r="B35" i="5" s="1"/>
  <c r="I26" i="4"/>
  <c r="B19" i="5" s="1"/>
  <c r="B53" i="5" s="1"/>
  <c r="H26" i="4"/>
  <c r="G26" i="4"/>
  <c r="F26" i="4"/>
  <c r="E26" i="4"/>
  <c r="D26" i="4"/>
  <c r="I25" i="4"/>
  <c r="H25" i="4"/>
  <c r="G12" i="7" s="1"/>
  <c r="G25" i="4"/>
  <c r="F12" i="7" s="1"/>
  <c r="F25" i="4"/>
  <c r="E12" i="7" s="1"/>
  <c r="E25" i="4"/>
  <c r="D12" i="7" s="1"/>
  <c r="D25" i="4"/>
  <c r="C12" i="7" s="1"/>
  <c r="I24" i="4"/>
  <c r="B17" i="5" s="1"/>
  <c r="B51" i="5" s="1"/>
  <c r="H24" i="4"/>
  <c r="J24" i="4" s="1"/>
  <c r="B33" i="5" s="1"/>
  <c r="G24" i="4"/>
  <c r="F24" i="4"/>
  <c r="E24" i="4"/>
  <c r="D24" i="4"/>
  <c r="I21" i="4"/>
  <c r="H11" i="7" s="1"/>
  <c r="H21" i="4"/>
  <c r="G11" i="7" s="1"/>
  <c r="H19" i="4"/>
  <c r="I18" i="4"/>
  <c r="H18" i="4"/>
  <c r="G18" i="4"/>
  <c r="G19" i="4" s="1"/>
  <c r="F18" i="4"/>
  <c r="E18" i="4"/>
  <c r="J18" i="4" s="1"/>
  <c r="D18" i="4"/>
  <c r="I17" i="4"/>
  <c r="H17" i="4"/>
  <c r="G17" i="4"/>
  <c r="F17" i="4"/>
  <c r="F19" i="4" s="1"/>
  <c r="E17" i="4"/>
  <c r="J17" i="4" s="1"/>
  <c r="D17" i="4"/>
  <c r="J16" i="4"/>
  <c r="I16" i="4"/>
  <c r="I19" i="4" s="1"/>
  <c r="H16" i="4"/>
  <c r="G16" i="4"/>
  <c r="F16" i="4"/>
  <c r="E16" i="4"/>
  <c r="E19" i="4" s="1"/>
  <c r="D16" i="4"/>
  <c r="D19" i="4" s="1"/>
  <c r="C10" i="7" s="1"/>
  <c r="I15" i="4"/>
  <c r="H9" i="7" s="1"/>
  <c r="H15" i="4"/>
  <c r="G9" i="7" s="1"/>
  <c r="G15" i="4"/>
  <c r="F9" i="7" s="1"/>
  <c r="H13" i="4"/>
  <c r="G8" i="7" s="1"/>
  <c r="G13" i="4"/>
  <c r="F8" i="7" s="1"/>
  <c r="I11" i="4"/>
  <c r="B19" i="6" s="1"/>
  <c r="I10" i="4"/>
  <c r="H5" i="7" s="1"/>
  <c r="H10" i="4"/>
  <c r="G5" i="7" s="1"/>
  <c r="G10" i="4"/>
  <c r="F5" i="7" s="1"/>
  <c r="F10" i="4"/>
  <c r="E5" i="7" s="1"/>
  <c r="E10" i="4"/>
  <c r="D5" i="7" s="1"/>
  <c r="D10" i="4"/>
  <c r="C5" i="7" s="1"/>
  <c r="I9" i="4"/>
  <c r="H9" i="4"/>
  <c r="G9" i="4"/>
  <c r="F9" i="4"/>
  <c r="E4" i="7" s="1"/>
  <c r="E9" i="4"/>
  <c r="D9" i="4"/>
  <c r="C4" i="7" s="1"/>
  <c r="I7" i="4"/>
  <c r="H14" i="7" s="1"/>
  <c r="H7" i="4"/>
  <c r="G14" i="7" s="1"/>
  <c r="G7" i="4"/>
  <c r="F14" i="7" s="1"/>
  <c r="F7" i="4"/>
  <c r="E14" i="7" s="1"/>
  <c r="E7" i="4"/>
  <c r="D14" i="7" s="1"/>
  <c r="I6" i="4"/>
  <c r="H6" i="4"/>
  <c r="G6" i="4"/>
  <c r="F13" i="7" s="1"/>
  <c r="F6" i="4"/>
  <c r="E6" i="4"/>
  <c r="I191" i="3"/>
  <c r="H191" i="3"/>
  <c r="I190" i="3"/>
  <c r="I128" i="4" s="1"/>
  <c r="H190" i="3"/>
  <c r="G190" i="3"/>
  <c r="F190" i="3"/>
  <c r="E190" i="3"/>
  <c r="E138" i="4" s="1"/>
  <c r="D190" i="3"/>
  <c r="D138" i="4" s="1"/>
  <c r="I189" i="3"/>
  <c r="I127" i="4" s="1"/>
  <c r="H189" i="3"/>
  <c r="H127" i="4" s="1"/>
  <c r="G189" i="3"/>
  <c r="G127" i="4" s="1"/>
  <c r="F189" i="3"/>
  <c r="F191" i="3" s="1"/>
  <c r="E189" i="3"/>
  <c r="E191" i="3" s="1"/>
  <c r="D189" i="3"/>
  <c r="D137" i="4" s="1"/>
  <c r="C79" i="7" s="1"/>
  <c r="I178" i="3"/>
  <c r="I145" i="4" s="1"/>
  <c r="H178" i="3"/>
  <c r="H192" i="3" s="1"/>
  <c r="G178" i="3"/>
  <c r="G131" i="4" s="1"/>
  <c r="F77" i="7" s="1"/>
  <c r="F178" i="3"/>
  <c r="F131" i="4" s="1"/>
  <c r="E77" i="7" s="1"/>
  <c r="E178" i="3"/>
  <c r="E146" i="4" s="1"/>
  <c r="D178" i="3"/>
  <c r="D192" i="3" s="1"/>
  <c r="I153" i="3"/>
  <c r="I99" i="4" s="1"/>
  <c r="H153" i="3"/>
  <c r="H99" i="4" s="1"/>
  <c r="G153" i="3"/>
  <c r="F153" i="3"/>
  <c r="I152" i="3"/>
  <c r="H152" i="3"/>
  <c r="G152" i="3"/>
  <c r="G109" i="4" s="1"/>
  <c r="F152" i="3"/>
  <c r="F109" i="4" s="1"/>
  <c r="E152" i="3"/>
  <c r="D152" i="3"/>
  <c r="D109" i="4" s="1"/>
  <c r="I151" i="3"/>
  <c r="I98" i="4" s="1"/>
  <c r="H151" i="3"/>
  <c r="G151" i="3"/>
  <c r="F151" i="3"/>
  <c r="F108" i="4" s="1"/>
  <c r="E62" i="7" s="1"/>
  <c r="E151" i="3"/>
  <c r="E108" i="4" s="1"/>
  <c r="D151" i="3"/>
  <c r="D153" i="3" s="1"/>
  <c r="I140" i="3"/>
  <c r="I102" i="4" s="1"/>
  <c r="H140" i="3"/>
  <c r="H102" i="4" s="1"/>
  <c r="G60" i="7" s="1"/>
  <c r="G140" i="3"/>
  <c r="G117" i="4" s="1"/>
  <c r="F68" i="7" s="1"/>
  <c r="F140" i="3"/>
  <c r="F154" i="3" s="1"/>
  <c r="E140" i="3"/>
  <c r="E116" i="4" s="1"/>
  <c r="D140" i="3"/>
  <c r="D154" i="3" s="1"/>
  <c r="G115" i="3"/>
  <c r="F115" i="3"/>
  <c r="E115" i="3"/>
  <c r="D115" i="3"/>
  <c r="I114" i="3"/>
  <c r="I80" i="4" s="1"/>
  <c r="D16" i="5" s="1"/>
  <c r="H114" i="3"/>
  <c r="H80" i="4" s="1"/>
  <c r="G114" i="3"/>
  <c r="G70" i="4" s="1"/>
  <c r="F114" i="3"/>
  <c r="F70" i="4" s="1"/>
  <c r="E114" i="3"/>
  <c r="E70" i="4" s="1"/>
  <c r="D114" i="3"/>
  <c r="D80" i="4" s="1"/>
  <c r="I113" i="3"/>
  <c r="I115" i="3" s="1"/>
  <c r="H113" i="3"/>
  <c r="H79" i="4" s="1"/>
  <c r="G45" i="7" s="1"/>
  <c r="G113" i="3"/>
  <c r="G79" i="4" s="1"/>
  <c r="F45" i="7" s="1"/>
  <c r="F113" i="3"/>
  <c r="F79" i="4" s="1"/>
  <c r="E45" i="7" s="1"/>
  <c r="E113" i="3"/>
  <c r="E69" i="4" s="1"/>
  <c r="D113" i="3"/>
  <c r="I102" i="3"/>
  <c r="I88" i="4" s="1"/>
  <c r="H51" i="7" s="1"/>
  <c r="H102" i="3"/>
  <c r="H88" i="4" s="1"/>
  <c r="G51" i="7" s="1"/>
  <c r="G102" i="3"/>
  <c r="G87" i="4" s="1"/>
  <c r="F102" i="3"/>
  <c r="F87" i="4" s="1"/>
  <c r="E102" i="3"/>
  <c r="E87" i="4" s="1"/>
  <c r="D102" i="3"/>
  <c r="D116" i="3" s="1"/>
  <c r="E77" i="3"/>
  <c r="E41" i="4" s="1"/>
  <c r="D77" i="3"/>
  <c r="I76" i="3"/>
  <c r="H76" i="3"/>
  <c r="G76" i="3"/>
  <c r="F76" i="3"/>
  <c r="E76" i="3"/>
  <c r="D76" i="3"/>
  <c r="I75" i="3"/>
  <c r="I50" i="4" s="1"/>
  <c r="H75" i="3"/>
  <c r="H77" i="3" s="1"/>
  <c r="G75" i="3"/>
  <c r="G40" i="4" s="1"/>
  <c r="F75" i="3"/>
  <c r="F40" i="4" s="1"/>
  <c r="E75" i="3"/>
  <c r="E40" i="4" s="1"/>
  <c r="D75" i="3"/>
  <c r="I64" i="3"/>
  <c r="I58" i="4" s="1"/>
  <c r="H64" i="3"/>
  <c r="H58" i="4" s="1"/>
  <c r="G64" i="3"/>
  <c r="G58" i="4" s="1"/>
  <c r="F64" i="3"/>
  <c r="F58" i="4" s="1"/>
  <c r="E64" i="3"/>
  <c r="E44" i="4" s="1"/>
  <c r="D64" i="3"/>
  <c r="D78" i="3" s="1"/>
  <c r="I39" i="3"/>
  <c r="H39" i="3"/>
  <c r="I38" i="3"/>
  <c r="I12" i="4" s="1"/>
  <c r="H38" i="3"/>
  <c r="G38" i="3"/>
  <c r="F38" i="3"/>
  <c r="E38" i="3"/>
  <c r="E22" i="4" s="1"/>
  <c r="D38" i="3"/>
  <c r="D22" i="4" s="1"/>
  <c r="I37" i="3"/>
  <c r="H37" i="3"/>
  <c r="H11" i="4" s="1"/>
  <c r="G37" i="3"/>
  <c r="G11" i="4" s="1"/>
  <c r="F37" i="3"/>
  <c r="F39" i="3" s="1"/>
  <c r="E37" i="3"/>
  <c r="E39" i="3" s="1"/>
  <c r="D37" i="3"/>
  <c r="D21" i="4" s="1"/>
  <c r="C11" i="7" s="1"/>
  <c r="I26" i="3"/>
  <c r="I29" i="4" s="1"/>
  <c r="H26" i="3"/>
  <c r="H40" i="3" s="1"/>
  <c r="G26" i="3"/>
  <c r="G40" i="3" s="1"/>
  <c r="F26" i="3"/>
  <c r="F15" i="4" s="1"/>
  <c r="E9" i="7" s="1"/>
  <c r="E26" i="3"/>
  <c r="E30" i="4" s="1"/>
  <c r="D26" i="3"/>
  <c r="D40" i="3" s="1"/>
  <c r="B45" i="2"/>
  <c r="K44" i="2"/>
  <c r="F44" i="2"/>
  <c r="C44" i="2"/>
  <c r="L43" i="2"/>
  <c r="C43" i="2"/>
  <c r="F42" i="2"/>
  <c r="C42" i="2"/>
  <c r="L41" i="2"/>
  <c r="E41" i="2"/>
  <c r="C41" i="2"/>
  <c r="K40" i="2"/>
  <c r="I40" i="2"/>
  <c r="F40" i="2"/>
  <c r="C40" i="2"/>
  <c r="B38" i="2"/>
  <c r="J28" i="2"/>
  <c r="H27" i="2"/>
  <c r="F19" i="2"/>
  <c r="E15" i="2"/>
  <c r="G14" i="2"/>
  <c r="F14" i="2"/>
  <c r="E14" i="2"/>
  <c r="D14" i="2"/>
  <c r="C14" i="2"/>
  <c r="G13" i="2"/>
  <c r="F13" i="2"/>
  <c r="E13" i="2"/>
  <c r="D13" i="2"/>
  <c r="C13" i="2"/>
  <c r="B11" i="2"/>
  <c r="D9" i="2"/>
  <c r="B9" i="2"/>
  <c r="D8" i="2"/>
  <c r="B8" i="2"/>
  <c r="C45" i="2" l="1"/>
  <c r="G33" i="7"/>
  <c r="D17" i="7"/>
  <c r="B17" i="6"/>
  <c r="F6" i="7"/>
  <c r="H7" i="7"/>
  <c r="H40" i="2" s="1"/>
  <c r="B28" i="6"/>
  <c r="B11" i="5"/>
  <c r="H33" i="7"/>
  <c r="D50" i="7"/>
  <c r="E19" i="6"/>
  <c r="H57" i="7"/>
  <c r="E10" i="5"/>
  <c r="H84" i="7"/>
  <c r="H10" i="7"/>
  <c r="J40" i="2" s="1"/>
  <c r="B46" i="6"/>
  <c r="B14" i="5"/>
  <c r="B48" i="5" s="1"/>
  <c r="H27" i="7"/>
  <c r="J41" i="2" s="1"/>
  <c r="C46" i="6"/>
  <c r="C14" i="5"/>
  <c r="D27" i="7"/>
  <c r="C42" i="6"/>
  <c r="J48" i="4"/>
  <c r="C30" i="5" s="1"/>
  <c r="D44" i="6"/>
  <c r="F44" i="7"/>
  <c r="H78" i="7"/>
  <c r="J44" i="2" s="1"/>
  <c r="F46" i="6"/>
  <c r="F14" i="5"/>
  <c r="G6" i="7"/>
  <c r="B18" i="6"/>
  <c r="E50" i="7"/>
  <c r="G58" i="7"/>
  <c r="F17" i="2" s="1"/>
  <c r="E27" i="6"/>
  <c r="F128" i="4"/>
  <c r="G44" i="7"/>
  <c r="D45" i="6"/>
  <c r="C15" i="6"/>
  <c r="D23" i="7"/>
  <c r="F50" i="7"/>
  <c r="H60" i="7"/>
  <c r="I43" i="2" s="1"/>
  <c r="E13" i="5"/>
  <c r="H58" i="7"/>
  <c r="E28" i="6"/>
  <c r="E11" i="5"/>
  <c r="D46" i="6"/>
  <c r="D14" i="5"/>
  <c r="H44" i="7"/>
  <c r="J42" i="2" s="1"/>
  <c r="D51" i="5"/>
  <c r="F44" i="6"/>
  <c r="F78" i="7"/>
  <c r="F53" i="5"/>
  <c r="C16" i="6"/>
  <c r="E23" i="7"/>
  <c r="H128" i="4"/>
  <c r="F10" i="7"/>
  <c r="B44" i="6"/>
  <c r="D61" i="7"/>
  <c r="C18" i="2" s="1"/>
  <c r="E42" i="6"/>
  <c r="J106" i="4"/>
  <c r="E30" i="5" s="1"/>
  <c r="E46" i="6"/>
  <c r="H61" i="7"/>
  <c r="E14" i="5"/>
  <c r="E48" i="5" s="1"/>
  <c r="E78" i="7"/>
  <c r="F43" i="6"/>
  <c r="D43" i="6"/>
  <c r="E44" i="7"/>
  <c r="H16" i="7"/>
  <c r="D26" i="7"/>
  <c r="F23" i="7"/>
  <c r="C17" i="6"/>
  <c r="D41" i="7"/>
  <c r="D24" i="6"/>
  <c r="D62" i="7"/>
  <c r="D85" i="7"/>
  <c r="F74" i="7"/>
  <c r="F17" i="6"/>
  <c r="F28" i="6"/>
  <c r="H75" i="7"/>
  <c r="H44" i="2" s="1"/>
  <c r="F11" i="5"/>
  <c r="D10" i="7"/>
  <c r="B42" i="6"/>
  <c r="J19" i="4"/>
  <c r="B30" i="5" s="1"/>
  <c r="B43" i="6"/>
  <c r="E10" i="7"/>
  <c r="E61" i="7"/>
  <c r="D18" i="2" s="1"/>
  <c r="E43" i="6"/>
  <c r="E45" i="6"/>
  <c r="G61" i="7"/>
  <c r="F18" i="2" s="1"/>
  <c r="F42" i="6"/>
  <c r="D78" i="7"/>
  <c r="J135" i="4"/>
  <c r="F30" i="5" s="1"/>
  <c r="G27" i="7"/>
  <c r="C45" i="6"/>
  <c r="F12" i="4"/>
  <c r="E33" i="7"/>
  <c r="E41" i="7"/>
  <c r="D25" i="6"/>
  <c r="G74" i="7"/>
  <c r="F18" i="6"/>
  <c r="F61" i="7"/>
  <c r="E18" i="2" s="1"/>
  <c r="E44" i="6"/>
  <c r="F51" i="5"/>
  <c r="G12" i="4"/>
  <c r="F33" i="7"/>
  <c r="H28" i="7"/>
  <c r="K41" i="2" s="1"/>
  <c r="C15" i="5"/>
  <c r="D24" i="7"/>
  <c r="C24" i="6"/>
  <c r="D40" i="7"/>
  <c r="D15" i="6"/>
  <c r="F41" i="7"/>
  <c r="D26" i="6"/>
  <c r="D67" i="7"/>
  <c r="J116" i="4"/>
  <c r="H74" i="7"/>
  <c r="G44" i="2" s="1"/>
  <c r="F19" i="6"/>
  <c r="F10" i="5"/>
  <c r="F27" i="7"/>
  <c r="C44" i="6"/>
  <c r="D44" i="7"/>
  <c r="D42" i="6"/>
  <c r="J77" i="4"/>
  <c r="D30" i="5" s="1"/>
  <c r="D53" i="5"/>
  <c r="G39" i="3"/>
  <c r="H12" i="4" s="1"/>
  <c r="I40" i="3"/>
  <c r="I77" i="3"/>
  <c r="I41" i="4" s="1"/>
  <c r="E116" i="3"/>
  <c r="E153" i="3"/>
  <c r="E99" i="4" s="1"/>
  <c r="G154" i="3"/>
  <c r="G191" i="3"/>
  <c r="G128" i="4" s="1"/>
  <c r="I192" i="3"/>
  <c r="B8" i="6"/>
  <c r="F4" i="7"/>
  <c r="F13" i="4"/>
  <c r="E8" i="7" s="1"/>
  <c r="E21" i="4"/>
  <c r="F22" i="4"/>
  <c r="J22" i="4" s="1"/>
  <c r="B32" i="5" s="1"/>
  <c r="J28" i="4"/>
  <c r="F30" i="4"/>
  <c r="E17" i="7" s="1"/>
  <c r="H31" i="4"/>
  <c r="G18" i="7" s="1"/>
  <c r="D21" i="7"/>
  <c r="C6" i="6"/>
  <c r="H40" i="4"/>
  <c r="F44" i="4"/>
  <c r="E26" i="7" s="1"/>
  <c r="G47" i="7"/>
  <c r="D36" i="6"/>
  <c r="J65" i="4"/>
  <c r="D16" i="6"/>
  <c r="E40" i="7"/>
  <c r="I79" i="4"/>
  <c r="H87" i="4"/>
  <c r="G50" i="7" s="1"/>
  <c r="E34" i="6"/>
  <c r="E64" i="7"/>
  <c r="D19" i="2" s="1"/>
  <c r="H55" i="7"/>
  <c r="E10" i="6"/>
  <c r="J97" i="4"/>
  <c r="E25" i="5" s="1"/>
  <c r="H100" i="4"/>
  <c r="G59" i="7" s="1"/>
  <c r="E51" i="5"/>
  <c r="J112" i="4"/>
  <c r="E34" i="5" s="1"/>
  <c r="H117" i="4"/>
  <c r="G68" i="7" s="1"/>
  <c r="F8" i="6"/>
  <c r="F72" i="7"/>
  <c r="F129" i="4"/>
  <c r="E76" i="7" s="1"/>
  <c r="E137" i="4"/>
  <c r="F138" i="4"/>
  <c r="J138" i="4" s="1"/>
  <c r="F32" i="5" s="1"/>
  <c r="J144" i="4"/>
  <c r="F146" i="4"/>
  <c r="E85" i="7" s="1"/>
  <c r="H147" i="4"/>
  <c r="G86" i="7" s="1"/>
  <c r="E8" i="5"/>
  <c r="B15" i="5"/>
  <c r="C18" i="5"/>
  <c r="E8" i="6"/>
  <c r="D33" i="6"/>
  <c r="F116" i="3"/>
  <c r="H154" i="3"/>
  <c r="B33" i="6"/>
  <c r="D13" i="7"/>
  <c r="B9" i="6"/>
  <c r="G4" i="7"/>
  <c r="F21" i="4"/>
  <c r="E11" i="7" s="1"/>
  <c r="G22" i="4"/>
  <c r="H12" i="7"/>
  <c r="L40" i="2" s="1"/>
  <c r="B18" i="5"/>
  <c r="E29" i="4"/>
  <c r="G30" i="4"/>
  <c r="F17" i="7" s="1"/>
  <c r="E21" i="7"/>
  <c r="C7" i="6"/>
  <c r="I40" i="4"/>
  <c r="E42" i="4"/>
  <c r="G44" i="4"/>
  <c r="F26" i="7" s="1"/>
  <c r="J47" i="4"/>
  <c r="E59" i="4"/>
  <c r="H47" i="7"/>
  <c r="D42" i="2" s="1"/>
  <c r="D37" i="6"/>
  <c r="G69" i="4"/>
  <c r="J69" i="4" s="1"/>
  <c r="D26" i="5" s="1"/>
  <c r="E73" i="4"/>
  <c r="J79" i="4"/>
  <c r="D31" i="5" s="1"/>
  <c r="I87" i="4"/>
  <c r="H50" i="7" s="1"/>
  <c r="E35" i="6"/>
  <c r="F64" i="7"/>
  <c r="E19" i="2" s="1"/>
  <c r="E98" i="4"/>
  <c r="G99" i="4"/>
  <c r="I100" i="4"/>
  <c r="G116" i="4"/>
  <c r="F67" i="7" s="1"/>
  <c r="I117" i="4"/>
  <c r="H68" i="7" s="1"/>
  <c r="J30" i="2" s="1"/>
  <c r="D81" i="7"/>
  <c r="F33" i="6"/>
  <c r="F9" i="6"/>
  <c r="G72" i="7"/>
  <c r="I131" i="4"/>
  <c r="J132" i="4"/>
  <c r="F137" i="4"/>
  <c r="E79" i="7" s="1"/>
  <c r="G138" i="4"/>
  <c r="F18" i="5"/>
  <c r="H80" i="7"/>
  <c r="L44" i="2" s="1"/>
  <c r="L45" i="2" s="1"/>
  <c r="E145" i="4"/>
  <c r="G146" i="4"/>
  <c r="F85" i="7" s="1"/>
  <c r="B9" i="5"/>
  <c r="E18" i="5"/>
  <c r="C10" i="6"/>
  <c r="B35" i="6"/>
  <c r="E78" i="3"/>
  <c r="G116" i="3"/>
  <c r="I154" i="3"/>
  <c r="E13" i="7"/>
  <c r="B34" i="6"/>
  <c r="H4" i="7"/>
  <c r="E40" i="2" s="1"/>
  <c r="B10" i="6"/>
  <c r="J10" i="4"/>
  <c r="B25" i="5" s="1"/>
  <c r="G21" i="4"/>
  <c r="F11" i="7" s="1"/>
  <c r="H22" i="4"/>
  <c r="J25" i="4"/>
  <c r="B34" i="5" s="1"/>
  <c r="F29" i="4"/>
  <c r="E16" i="7" s="1"/>
  <c r="H30" i="4"/>
  <c r="G17" i="7" s="1"/>
  <c r="F21" i="7"/>
  <c r="C8" i="6"/>
  <c r="F42" i="4"/>
  <c r="E25" i="7" s="1"/>
  <c r="H44" i="4"/>
  <c r="G26" i="7" s="1"/>
  <c r="E50" i="4"/>
  <c r="C53" i="5"/>
  <c r="F59" i="4"/>
  <c r="E34" i="7" s="1"/>
  <c r="D6" i="6"/>
  <c r="D38" i="7"/>
  <c r="H69" i="4"/>
  <c r="F73" i="4"/>
  <c r="E43" i="7" s="1"/>
  <c r="F98" i="4"/>
  <c r="I108" i="4"/>
  <c r="H116" i="4"/>
  <c r="G67" i="7" s="1"/>
  <c r="E81" i="7"/>
  <c r="F34" i="6"/>
  <c r="F10" i="6"/>
  <c r="H72" i="7"/>
  <c r="E44" i="2" s="1"/>
  <c r="F8" i="5"/>
  <c r="G137" i="4"/>
  <c r="F79" i="7" s="1"/>
  <c r="H138" i="4"/>
  <c r="F145" i="4"/>
  <c r="E84" i="7" s="1"/>
  <c r="H146" i="4"/>
  <c r="G85" i="7" s="1"/>
  <c r="D9" i="5"/>
  <c r="F15" i="5"/>
  <c r="E36" i="6"/>
  <c r="F78" i="3"/>
  <c r="H116" i="3"/>
  <c r="J9" i="4"/>
  <c r="B24" i="5" s="1"/>
  <c r="E11" i="4"/>
  <c r="I13" i="4"/>
  <c r="I22" i="4"/>
  <c r="B16" i="5" s="1"/>
  <c r="D50" i="5" s="1"/>
  <c r="I30" i="4"/>
  <c r="H17" i="7" s="1"/>
  <c r="D30" i="7"/>
  <c r="C33" i="6"/>
  <c r="C9" i="6"/>
  <c r="G21" i="7"/>
  <c r="H22" i="7"/>
  <c r="F41" i="2" s="1"/>
  <c r="C9" i="5"/>
  <c r="G42" i="4"/>
  <c r="F25" i="7" s="1"/>
  <c r="H26" i="7"/>
  <c r="I41" i="2" s="1"/>
  <c r="C13" i="5"/>
  <c r="J45" i="4"/>
  <c r="F50" i="4"/>
  <c r="E28" i="7" s="1"/>
  <c r="G51" i="4"/>
  <c r="J51" i="4" s="1"/>
  <c r="C32" i="5" s="1"/>
  <c r="E58" i="4"/>
  <c r="G59" i="4"/>
  <c r="F34" i="7" s="1"/>
  <c r="E38" i="7"/>
  <c r="D7" i="6"/>
  <c r="I69" i="4"/>
  <c r="E71" i="4"/>
  <c r="G73" i="4"/>
  <c r="F43" i="7" s="1"/>
  <c r="E80" i="4"/>
  <c r="E88" i="4"/>
  <c r="E89" i="4" s="1"/>
  <c r="E37" i="6"/>
  <c r="H64" i="7"/>
  <c r="F57" i="7"/>
  <c r="E16" i="2" s="1"/>
  <c r="E17" i="6"/>
  <c r="I116" i="4"/>
  <c r="F81" i="7"/>
  <c r="F35" i="6"/>
  <c r="J125" i="4"/>
  <c r="F24" i="5" s="1"/>
  <c r="E127" i="4"/>
  <c r="I129" i="4"/>
  <c r="I138" i="4"/>
  <c r="F16" i="5" s="1"/>
  <c r="J140" i="4"/>
  <c r="F33" i="5" s="1"/>
  <c r="I146" i="4"/>
  <c r="H85" i="7" s="1"/>
  <c r="F9" i="5"/>
  <c r="F43" i="5" s="1"/>
  <c r="B13" i="5"/>
  <c r="E40" i="3"/>
  <c r="G78" i="3"/>
  <c r="I116" i="3"/>
  <c r="E192" i="3"/>
  <c r="B36" i="6"/>
  <c r="G13" i="7"/>
  <c r="J7" i="4"/>
  <c r="F11" i="4"/>
  <c r="B45" i="6"/>
  <c r="G10" i="7"/>
  <c r="C34" i="6"/>
  <c r="E30" i="7"/>
  <c r="J39" i="4"/>
  <c r="C25" i="5" s="1"/>
  <c r="H42" i="4"/>
  <c r="G25" i="7" s="1"/>
  <c r="C43" i="6"/>
  <c r="E27" i="7"/>
  <c r="G50" i="4"/>
  <c r="F28" i="7" s="1"/>
  <c r="H51" i="4"/>
  <c r="C51" i="5"/>
  <c r="H59" i="4"/>
  <c r="G34" i="7" s="1"/>
  <c r="F38" i="7"/>
  <c r="D8" i="6"/>
  <c r="F71" i="4"/>
  <c r="E42" i="7" s="1"/>
  <c r="H73" i="4"/>
  <c r="G43" i="7" s="1"/>
  <c r="F88" i="4"/>
  <c r="E51" i="7" s="1"/>
  <c r="H89" i="4"/>
  <c r="G52" i="7" s="1"/>
  <c r="E6" i="6"/>
  <c r="D55" i="7"/>
  <c r="C15" i="2" s="1"/>
  <c r="E18" i="6"/>
  <c r="G57" i="7"/>
  <c r="F16" i="2" s="1"/>
  <c r="F118" i="4"/>
  <c r="E69" i="7" s="1"/>
  <c r="F36" i="6"/>
  <c r="G81" i="7"/>
  <c r="J123" i="4"/>
  <c r="F127" i="4"/>
  <c r="G78" i="7"/>
  <c r="F45" i="6"/>
  <c r="D39" i="3"/>
  <c r="E12" i="4" s="1"/>
  <c r="F40" i="3"/>
  <c r="F77" i="3"/>
  <c r="F41" i="4" s="1"/>
  <c r="H78" i="3"/>
  <c r="H115" i="3"/>
  <c r="H70" i="4" s="1"/>
  <c r="D191" i="3"/>
  <c r="E128" i="4" s="1"/>
  <c r="F192" i="3"/>
  <c r="B37" i="6"/>
  <c r="H13" i="7"/>
  <c r="D40" i="2" s="1"/>
  <c r="E15" i="4"/>
  <c r="F30" i="7"/>
  <c r="C35" i="6"/>
  <c r="J38" i="4"/>
  <c r="C24" i="5" s="1"/>
  <c r="I42" i="4"/>
  <c r="H50" i="4"/>
  <c r="G28" i="7" s="1"/>
  <c r="I51" i="4"/>
  <c r="C16" i="5" s="1"/>
  <c r="C50" i="5" s="1"/>
  <c r="I59" i="4"/>
  <c r="H34" i="7" s="1"/>
  <c r="G38" i="7"/>
  <c r="D9" i="6"/>
  <c r="G71" i="4"/>
  <c r="F42" i="7" s="1"/>
  <c r="I73" i="4"/>
  <c r="J74" i="4"/>
  <c r="G80" i="4"/>
  <c r="H46" i="7"/>
  <c r="L42" i="2" s="1"/>
  <c r="D18" i="5"/>
  <c r="D52" i="5" s="1"/>
  <c r="G88" i="4"/>
  <c r="F51" i="7" s="1"/>
  <c r="I89" i="4"/>
  <c r="H52" i="7" s="1"/>
  <c r="E7" i="6"/>
  <c r="E55" i="7"/>
  <c r="D15" i="2" s="1"/>
  <c r="E100" i="4"/>
  <c r="G102" i="4"/>
  <c r="F60" i="7" s="1"/>
  <c r="D108" i="4"/>
  <c r="C62" i="7" s="1"/>
  <c r="E109" i="4"/>
  <c r="J109" i="4" s="1"/>
  <c r="E32" i="5" s="1"/>
  <c r="E117" i="4"/>
  <c r="G118" i="4"/>
  <c r="F69" i="7" s="1"/>
  <c r="F37" i="6"/>
  <c r="H81" i="7"/>
  <c r="D44" i="2" s="1"/>
  <c r="E131" i="4"/>
  <c r="E147" i="4"/>
  <c r="D40" i="5"/>
  <c r="B8" i="5"/>
  <c r="B42" i="5" s="1"/>
  <c r="G77" i="3"/>
  <c r="G41" i="4" s="1"/>
  <c r="I78" i="3"/>
  <c r="E154" i="3"/>
  <c r="G192" i="3"/>
  <c r="J6" i="4"/>
  <c r="D4" i="7"/>
  <c r="B6" i="6"/>
  <c r="F31" i="4"/>
  <c r="E18" i="7" s="1"/>
  <c r="C36" i="6"/>
  <c r="G30" i="7"/>
  <c r="J36" i="4"/>
  <c r="D34" i="6"/>
  <c r="E47" i="7"/>
  <c r="H38" i="7"/>
  <c r="E42" i="2" s="1"/>
  <c r="D10" i="6"/>
  <c r="J68" i="4"/>
  <c r="D25" i="5" s="1"/>
  <c r="H71" i="4"/>
  <c r="G42" i="7" s="1"/>
  <c r="J83" i="4"/>
  <c r="D34" i="5" s="1"/>
  <c r="F100" i="4"/>
  <c r="E59" i="7" s="1"/>
  <c r="E53" i="5"/>
  <c r="J115" i="4"/>
  <c r="F117" i="4"/>
  <c r="E68" i="7" s="1"/>
  <c r="J122" i="4"/>
  <c r="D72" i="7"/>
  <c r="F6" i="6"/>
  <c r="C8" i="5"/>
  <c r="H6" i="7"/>
  <c r="G40" i="2" s="1"/>
  <c r="B10" i="5"/>
  <c r="E13" i="4"/>
  <c r="G31" i="4"/>
  <c r="F18" i="7" s="1"/>
  <c r="H30" i="7"/>
  <c r="D41" i="2" s="1"/>
  <c r="C37" i="6"/>
  <c r="F47" i="7"/>
  <c r="D35" i="6"/>
  <c r="J67" i="4"/>
  <c r="D24" i="5" s="1"/>
  <c r="I71" i="4"/>
  <c r="D64" i="7"/>
  <c r="C19" i="2" s="1"/>
  <c r="E33" i="6"/>
  <c r="E9" i="6"/>
  <c r="G55" i="7"/>
  <c r="F15" i="2" s="1"/>
  <c r="E9" i="5"/>
  <c r="H56" i="7"/>
  <c r="F43" i="2" s="1"/>
  <c r="F45" i="2" s="1"/>
  <c r="G100" i="4"/>
  <c r="F59" i="7" s="1"/>
  <c r="J103" i="4"/>
  <c r="F7" i="6"/>
  <c r="E72" i="7"/>
  <c r="E129" i="4"/>
  <c r="G147" i="4"/>
  <c r="F86" i="7" s="1"/>
  <c r="F40" i="5"/>
  <c r="D8" i="5"/>
  <c r="B7" i="6"/>
  <c r="D52" i="7" l="1"/>
  <c r="C11" i="5"/>
  <c r="H24" i="7"/>
  <c r="H41" i="2" s="1"/>
  <c r="C28" i="6"/>
  <c r="F24" i="7"/>
  <c r="C26" i="6"/>
  <c r="B24" i="6"/>
  <c r="D7" i="7"/>
  <c r="J12" i="4"/>
  <c r="B27" i="5" s="1"/>
  <c r="B27" i="6"/>
  <c r="G7" i="7"/>
  <c r="F26" i="6"/>
  <c r="F75" i="7"/>
  <c r="D58" i="7"/>
  <c r="C17" i="2" s="1"/>
  <c r="E24" i="6"/>
  <c r="F24" i="6"/>
  <c r="D75" i="7"/>
  <c r="J128" i="4"/>
  <c r="F27" i="5" s="1"/>
  <c r="D34" i="7"/>
  <c r="J59" i="4"/>
  <c r="H67" i="7"/>
  <c r="I118" i="4"/>
  <c r="H69" i="7" s="1"/>
  <c r="J31" i="2" s="1"/>
  <c r="D42" i="7"/>
  <c r="J71" i="4"/>
  <c r="D28" i="5" s="1"/>
  <c r="F42" i="5"/>
  <c r="B52" i="5"/>
  <c r="B25" i="6"/>
  <c r="E7" i="7"/>
  <c r="J8" i="2"/>
  <c r="J43" i="2"/>
  <c r="J45" i="2" s="1"/>
  <c r="G18" i="2"/>
  <c r="J9" i="2"/>
  <c r="H41" i="4"/>
  <c r="D48" i="5"/>
  <c r="E50" i="5"/>
  <c r="D16" i="7"/>
  <c r="J29" i="4"/>
  <c r="D86" i="7"/>
  <c r="H40" i="7"/>
  <c r="G42" i="2" s="1"/>
  <c r="D19" i="6"/>
  <c r="D10" i="5"/>
  <c r="C47" i="5"/>
  <c r="D18" i="6"/>
  <c r="G40" i="7"/>
  <c r="D11" i="7"/>
  <c r="J21" i="4"/>
  <c r="B31" i="5" s="1"/>
  <c r="I31" i="4"/>
  <c r="H18" i="7" s="1"/>
  <c r="G89" i="4"/>
  <c r="F52" i="7" s="1"/>
  <c r="D9" i="7"/>
  <c r="J15" i="4"/>
  <c r="B29" i="5" s="1"/>
  <c r="E57" i="7"/>
  <c r="D16" i="2" s="1"/>
  <c r="E16" i="6"/>
  <c r="E43" i="2"/>
  <c r="E45" i="2" s="1"/>
  <c r="G15" i="2"/>
  <c r="H8" i="2"/>
  <c r="H9" i="2"/>
  <c r="B44" i="5"/>
  <c r="D59" i="7"/>
  <c r="J100" i="4"/>
  <c r="E28" i="5" s="1"/>
  <c r="F50" i="5"/>
  <c r="E52" i="5"/>
  <c r="D43" i="7"/>
  <c r="J73" i="4"/>
  <c r="D29" i="5" s="1"/>
  <c r="D25" i="7"/>
  <c r="J42" i="4"/>
  <c r="C28" i="5" s="1"/>
  <c r="J102" i="4"/>
  <c r="E29" i="5" s="1"/>
  <c r="C18" i="6"/>
  <c r="G23" i="7"/>
  <c r="J87" i="4"/>
  <c r="H42" i="7"/>
  <c r="D12" i="5"/>
  <c r="D46" i="5" s="1"/>
  <c r="D77" i="7"/>
  <c r="J131" i="4"/>
  <c r="F29" i="5" s="1"/>
  <c r="H25" i="7"/>
  <c r="C12" i="5"/>
  <c r="D42" i="5"/>
  <c r="H43" i="7"/>
  <c r="I42" i="2" s="1"/>
  <c r="D13" i="5"/>
  <c r="D47" i="5" s="1"/>
  <c r="F16" i="6"/>
  <c r="E74" i="7"/>
  <c r="F12" i="5"/>
  <c r="H76" i="7"/>
  <c r="G19" i="2"/>
  <c r="D43" i="2"/>
  <c r="D45" i="2" s="1"/>
  <c r="B50" i="5"/>
  <c r="D43" i="5"/>
  <c r="B43" i="5"/>
  <c r="H77" i="7"/>
  <c r="I44" i="2" s="1"/>
  <c r="F13" i="5"/>
  <c r="H59" i="7"/>
  <c r="E12" i="5"/>
  <c r="I70" i="4"/>
  <c r="J70" i="4" s="1"/>
  <c r="D27" i="5" s="1"/>
  <c r="H23" i="7"/>
  <c r="G41" i="2" s="1"/>
  <c r="C19" i="6"/>
  <c r="C10" i="5"/>
  <c r="C44" i="5" s="1"/>
  <c r="D79" i="7"/>
  <c r="J137" i="4"/>
  <c r="F31" i="5" s="1"/>
  <c r="H45" i="7"/>
  <c r="K42" i="2" s="1"/>
  <c r="D15" i="5"/>
  <c r="B49" i="5" s="1"/>
  <c r="G60" i="4"/>
  <c r="F35" i="7" s="1"/>
  <c r="F25" i="6"/>
  <c r="E75" i="7"/>
  <c r="F48" i="5"/>
  <c r="I147" i="4"/>
  <c r="H86" i="7" s="1"/>
  <c r="J30" i="4"/>
  <c r="F52" i="5"/>
  <c r="G75" i="7"/>
  <c r="F27" i="6"/>
  <c r="H118" i="4"/>
  <c r="G69" i="7" s="1"/>
  <c r="C42" i="5"/>
  <c r="E43" i="5"/>
  <c r="F147" i="4"/>
  <c r="E86" i="7" s="1"/>
  <c r="D27" i="6"/>
  <c r="G41" i="7"/>
  <c r="D74" i="7"/>
  <c r="F15" i="6"/>
  <c r="J127" i="4"/>
  <c r="F26" i="5" s="1"/>
  <c r="C43" i="5"/>
  <c r="H8" i="7"/>
  <c r="B12" i="5"/>
  <c r="F58" i="7"/>
  <c r="E17" i="2" s="1"/>
  <c r="E26" i="6"/>
  <c r="F40" i="7"/>
  <c r="D17" i="6"/>
  <c r="C52" i="5"/>
  <c r="F99" i="4"/>
  <c r="J146" i="4"/>
  <c r="J40" i="4"/>
  <c r="C26" i="5" s="1"/>
  <c r="C48" i="5"/>
  <c r="I60" i="4"/>
  <c r="H35" i="7" s="1"/>
  <c r="D51" i="7"/>
  <c r="J88" i="4"/>
  <c r="D33" i="7"/>
  <c r="E60" i="4"/>
  <c r="J58" i="4"/>
  <c r="B15" i="6"/>
  <c r="D6" i="7"/>
  <c r="J11" i="4"/>
  <c r="B26" i="5" s="1"/>
  <c r="D84" i="7"/>
  <c r="J145" i="4"/>
  <c r="D57" i="7"/>
  <c r="C16" i="2" s="1"/>
  <c r="E15" i="6"/>
  <c r="J98" i="4"/>
  <c r="E26" i="5" s="1"/>
  <c r="F7" i="7"/>
  <c r="B26" i="6"/>
  <c r="G17" i="2"/>
  <c r="H43" i="2"/>
  <c r="E44" i="5"/>
  <c r="H60" i="4"/>
  <c r="G35" i="7" s="1"/>
  <c r="D8" i="7"/>
  <c r="J13" i="4"/>
  <c r="B28" i="5" s="1"/>
  <c r="D76" i="7"/>
  <c r="J129" i="4"/>
  <c r="F28" i="5" s="1"/>
  <c r="D68" i="7"/>
  <c r="J117" i="4"/>
  <c r="E31" i="4"/>
  <c r="C25" i="6"/>
  <c r="E24" i="7"/>
  <c r="E6" i="7"/>
  <c r="B16" i="6"/>
  <c r="B47" i="5"/>
  <c r="J80" i="4"/>
  <c r="D32" i="5" s="1"/>
  <c r="H62" i="7"/>
  <c r="E15" i="5"/>
  <c r="E49" i="5" s="1"/>
  <c r="D28" i="7"/>
  <c r="J50" i="4"/>
  <c r="C31" i="5" s="1"/>
  <c r="E42" i="5"/>
  <c r="E118" i="4"/>
  <c r="J41" i="4"/>
  <c r="C27" i="5" s="1"/>
  <c r="F60" i="4"/>
  <c r="E35" i="7" s="1"/>
  <c r="J108" i="4"/>
  <c r="E31" i="5" s="1"/>
  <c r="J44" i="4"/>
  <c r="C29" i="5" s="1"/>
  <c r="F89" i="4"/>
  <c r="E52" i="7" s="1"/>
  <c r="G16" i="2"/>
  <c r="F9" i="2"/>
  <c r="F8" i="2"/>
  <c r="G43" i="2"/>
  <c r="I45" i="2" l="1"/>
  <c r="G45" i="2"/>
  <c r="D44" i="5"/>
  <c r="D35" i="7"/>
  <c r="J60" i="4"/>
  <c r="H33" i="2"/>
  <c r="J29" i="2"/>
  <c r="C49" i="5"/>
  <c r="D18" i="7"/>
  <c r="J31" i="4"/>
  <c r="K43" i="2"/>
  <c r="K45" i="2" s="1"/>
  <c r="L8" i="2"/>
  <c r="L9" i="2"/>
  <c r="D69" i="7"/>
  <c r="J118" i="4"/>
  <c r="F44" i="5"/>
  <c r="D28" i="6"/>
  <c r="H41" i="7"/>
  <c r="H42" i="2" s="1"/>
  <c r="H45" i="2" s="1"/>
  <c r="D11" i="5"/>
  <c r="C45" i="5" s="1"/>
  <c r="F49" i="5"/>
  <c r="J147" i="4"/>
  <c r="C27" i="6"/>
  <c r="G24" i="7"/>
  <c r="E25" i="6"/>
  <c r="E58" i="7"/>
  <c r="D17" i="2" s="1"/>
  <c r="B46" i="5"/>
  <c r="E47" i="5"/>
  <c r="J99" i="4"/>
  <c r="E27" i="5" s="1"/>
  <c r="J89" i="4"/>
  <c r="D49" i="5"/>
  <c r="E46" i="5"/>
  <c r="C46" i="5"/>
  <c r="F47" i="5"/>
  <c r="F46" i="5"/>
  <c r="D45" i="5" l="1"/>
  <c r="F45" i="5"/>
  <c r="E45" i="5"/>
  <c r="B4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200-000001000000}">
      <text>
        <r>
          <rPr>
            <sz val="10"/>
            <rFont val="Arial"/>
            <family val="2"/>
          </rPr>
          <t>Source: https://www.screener.in/company/HINDUNILVR/consolidated/ (Profit &amp; Loss, annual)</t>
        </r>
      </text>
    </comment>
    <comment ref="B44" authorId="0" shapeId="0" xr:uid="{00000000-0006-0000-0200-000002000000}">
      <text>
        <r>
          <rPr>
            <sz val="10"/>
            <rFont val="Arial"/>
            <family val="2"/>
          </rPr>
          <t>Source: https://www.screener.in/company/ITC/consolidated/ (Profit &amp; Loss, annual)</t>
        </r>
      </text>
    </comment>
    <comment ref="B82" authorId="0" shapeId="0" xr:uid="{00000000-0006-0000-0200-000003000000}">
      <text>
        <r>
          <rPr>
            <sz val="10"/>
            <rFont val="Arial"/>
            <family val="2"/>
          </rPr>
          <t>Source: https://www.screener.in/company/DABUR/consolidated/ (Profit &amp; Loss, annual)</t>
        </r>
      </text>
    </comment>
    <comment ref="B120" authorId="0" shapeId="0" xr:uid="{00000000-0006-0000-0200-000004000000}">
      <text>
        <r>
          <rPr>
            <sz val="10"/>
            <rFont val="Arial"/>
            <family val="2"/>
          </rPr>
          <t>Source: https://www.screener.in/company/BRITANNIA/consolidated/ (Profit &amp; Loss, annual)</t>
        </r>
      </text>
    </comment>
    <comment ref="B158" authorId="0" shapeId="0" xr:uid="{00000000-0006-0000-0200-000005000000}">
      <text>
        <r>
          <rPr>
            <sz val="10"/>
            <rFont val="Arial"/>
            <family val="2"/>
          </rPr>
          <t>Source: https://www.screener.in/company/MARICO/consolidated/ (Profit &amp; Loss, annual)</t>
        </r>
      </text>
    </comment>
  </commentList>
</comments>
</file>

<file path=xl/sharedStrings.xml><?xml version="1.0" encoding="utf-8"?>
<sst xmlns="http://schemas.openxmlformats.org/spreadsheetml/2006/main" count="1267" uniqueCount="252">
  <si>
    <t>Indian FMCG Financial Statement &amp; Ratio Analysis (FY21–FY26)</t>
  </si>
  <si>
    <t>Purpose</t>
  </si>
  <si>
    <t>Compare the financial performance of 5 listed Indian FMCG companies over 5 years using ratio and DuPont analysis.</t>
  </si>
  <si>
    <t>Companies</t>
  </si>
  <si>
    <t>HUL: Hindustan Unilever Ltd</t>
  </si>
  <si>
    <t>ITC: ITC Ltd</t>
  </si>
  <si>
    <t>Dabur: Dabur India Ltd</t>
  </si>
  <si>
    <t>Britannia: Britannia Industries Ltd</t>
  </si>
  <si>
    <t>Marico: Marico Ltd</t>
  </si>
  <si>
    <t>Data source</t>
  </si>
  <si>
    <t>Consolidated annual financials from Screener.in (compiled from company filings), retrieved 26 Sep 2026. Figures in ₹ crore. Fiscal years end 31 March (FY26 = Apr 2025–Mar 2026).</t>
  </si>
  <si>
    <t>HUL: https://www.screener.in/company/HINDUNILVR/consolidated/</t>
  </si>
  <si>
    <t>ITC: https://www.screener.in/company/ITC/consolidated/</t>
  </si>
  <si>
    <t>Dabur: https://www.screener.in/company/DABUR/consolidated/</t>
  </si>
  <si>
    <t>Britannia: https://www.screener.in/company/BRITANNIA/consolidated/</t>
  </si>
  <si>
    <t>Marico: https://www.screener.in/company/MARICO/consolidated/</t>
  </si>
  <si>
    <t>How to use</t>
  </si>
  <si>
    <t>Open the Dashboard sheet and pick a company and year from the yellow dropdown cells (C5 and F5). The KPI cards, trend charts, DuPont breakdown and peer table all update automatically.</t>
  </si>
  <si>
    <t>Colour legend</t>
  </si>
  <si>
    <t>Blue text = hardcoded input from source data</t>
  </si>
  <si>
    <t>Black text = formula</t>
  </si>
  <si>
    <t>Green text = link to another sheet</t>
  </si>
  <si>
    <t>Method notes</t>
  </si>
  <si>
    <t>Return ratios (ROE, ROCE, ROA) and asset turnover use the average of opening and closing balances, so they start in FY22.</t>
  </si>
  <si>
    <t>Shareholders' equity = Equity capital + Reserves. Capital employed = Equity + Borrowings. EBIT = Profit before tax + Interest.</t>
  </si>
  <si>
    <t>Debtor, inventory and payable days are taken as reported by Screener.in (blue inputs); the cash conversion cycle is calculated from them.</t>
  </si>
  <si>
    <t>Current ratio is not included: the source balance sheet does not split current and non-current items.</t>
  </si>
  <si>
    <t>Balance check row in Financials should be close to 0; differences of ±1–2 come from rounding in the source.</t>
  </si>
  <si>
    <t>One-off items to be aware of</t>
  </si>
  <si>
    <t>ITC FY25: Other income of ₹17,803 cr includes a large one-off gain linked to the ITC Hotels demerger (Jan 2025), which inflates FY25 net profit, ROE and EPS.</t>
  </si>
  <si>
    <t>HUL FY26: Other income jumped to ₹4,923 cr (from ₹1,355 cr) and the tax rate fell to 17%, lifting net profit 41%. Treat as largely one-off; verify in the FY26 annual report.</t>
  </si>
  <si>
    <t>HUL FY25: Sales fell 0.9% while peers grew. Part of this may be how the demerged ice cream business is reported; check the FY25 and FY26 annual reports before drawing conclusions.</t>
  </si>
  <si>
    <t>HUL: About ₹45,000+ cr of goodwill and brands from the 2020 GSK Consumer merger sits in fixed assets and equity, which lowers HUL's ROE, ROA and asset turnover versus peers.</t>
  </si>
  <si>
    <t>Why not Nestlé India?</t>
  </si>
  <si>
    <t>Nestlé India moved from a December to a March year-end, with a 15-month transition period, so its years are not comparable with the others. Marico was used instead.</t>
  </si>
  <si>
    <t>Disclaimer</t>
  </si>
  <si>
    <t>Educational portfolio project. Not investment advice.</t>
  </si>
  <si>
    <t>Indian FMCG Financial Dashboard</t>
  </si>
  <si>
    <t>HUL · ITC · Dabur · Britannia · Marico  |  Consolidated, ₹ crore  |  Source: Screener.in</t>
  </si>
  <si>
    <t>Company</t>
  </si>
  <si>
    <t>Britannia</t>
  </si>
  <si>
    <t>Year</t>
  </si>
  <si>
    <t>FY26</t>
  </si>
  <si>
    <t>Tip: choose a company and year from the yellow dropdowns; the whole page updates.</t>
  </si>
  <si>
    <t>Sales</t>
  </si>
  <si>
    <t>Net Profit</t>
  </si>
  <si>
    <t>ROE</t>
  </si>
  <si>
    <t>Operating Margin</t>
  </si>
  <si>
    <t>Cash Conversion Cycle</t>
  </si>
  <si>
    <t>Debt / Equity</t>
  </si>
  <si>
    <t>Metric</t>
  </si>
  <si>
    <t>FY22</t>
  </si>
  <si>
    <t>FY23</t>
  </si>
  <si>
    <t>FY24</t>
  </si>
  <si>
    <t>FY25</t>
  </si>
  <si>
    <t>Sales (₹ cr)</t>
  </si>
  <si>
    <t>Net Profit (₹ cr)</t>
  </si>
  <si>
    <t>ROCE</t>
  </si>
  <si>
    <t>Cash Conv. Cycle (days)</t>
  </si>
  <si>
    <t>Revenue Growth</t>
  </si>
  <si>
    <t>Net Profit Margin</t>
  </si>
  <si>
    <t>Profitability</t>
  </si>
  <si>
    <t>× Asset Turnover</t>
  </si>
  <si>
    <t>Efficiency</t>
  </si>
  <si>
    <t>× Equity Multiplier</t>
  </si>
  <si>
    <t>Leverage</t>
  </si>
  <si>
    <t>Result</t>
  </si>
  <si>
    <t>Net Margin</t>
  </si>
  <si>
    <t>Asset Turnover</t>
  </si>
  <si>
    <t>Cash Conv. Cycle</t>
  </si>
  <si>
    <t>FCF Margin</t>
  </si>
  <si>
    <t>HUL</t>
  </si>
  <si>
    <t>ITC</t>
  </si>
  <si>
    <t>Dabur</t>
  </si>
  <si>
    <t>Marico</t>
  </si>
  <si>
    <t>Colour scale: green = best in group, red = weakest. Lower is better for Cash Conversion Cycle and Debt / Equity. The selected company is highlighted in yellow.</t>
  </si>
  <si>
    <t>Financial Statements (₹ crore, consolidated)</t>
  </si>
  <si>
    <t>Source: Screener.in consolidated annual data, retrieved 26 Sep 2026. See Notes sheet for links.</t>
  </si>
  <si>
    <t>Line Item</t>
  </si>
  <si>
    <t>FY21</t>
  </si>
  <si>
    <t>Income Statement</t>
  </si>
  <si>
    <t>Expenses</t>
  </si>
  <si>
    <t>Operating Profit (EBITDA)</t>
  </si>
  <si>
    <t>Other Income</t>
  </si>
  <si>
    <t>Interest</t>
  </si>
  <si>
    <t>Depreciation</t>
  </si>
  <si>
    <t>Profit Before Tax</t>
  </si>
  <si>
    <t>EPS (₹)</t>
  </si>
  <si>
    <t>Dividend Payout %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</si>
  <si>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</si>
  <si>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</si>
  <si>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</si>
  <si>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</si>
  <si>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</si>
  <si>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</si>
  <si>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 (incl. goodwill)</t>
  </si>
  <si>
    <t>Capital Work in Progress</t>
  </si>
  <si>
    <t>Investments</t>
  </si>
  <si>
    <t>Other Assets</t>
  </si>
  <si>
    <t>Total Assets</t>
  </si>
  <si>
    <t>Cash Flow</t>
  </si>
  <si>
    <t>Cash from Operations (CFO)</t>
  </si>
  <si>
    <t>Cash from Investing</t>
  </si>
  <si>
    <t>Cash from Financing</t>
  </si>
  <si>
    <t>Free Cash Flow</t>
  </si>
  <si>
    <t>Working Capital Days (reported)</t>
  </si>
  <si>
    <t>Debtor Days</t>
  </si>
  <si>
    <t>Inventory Days</t>
  </si>
  <si>
    <t>Days Payable</t>
  </si>
  <si>
    <t>Derived (formulas)</t>
  </si>
  <si>
    <t>Shareholders' Equity</t>
  </si>
  <si>
    <t>EBIT (PBT + Interest)</t>
  </si>
  <si>
    <t>Capital Employed (Equity + Borrowings)</t>
  </si>
  <si>
    <t>Balance Check (Assets − Liabilities)</t>
  </si>
  <si>
    <t>Ratio Analysis</t>
  </si>
  <si>
    <t>All values are formulas linked to the Financials sheet. Averages use opening and closing balances.</t>
  </si>
  <si>
    <t>Ratio</t>
  </si>
  <si>
    <t>Formula</t>
  </si>
  <si>
    <t>5Y Avg (FY22–26)</t>
  </si>
  <si>
    <t>Growth</t>
  </si>
  <si>
    <t>Revenue Growth (YoY)</t>
  </si>
  <si>
    <t>Sales / previous year Sales − 1</t>
  </si>
  <si>
    <t>n/a</t>
  </si>
  <si>
    <t>Net Profit Growth (YoY)</t>
  </si>
  <si>
    <t>Net Profit / previous year Net Profit − 1</t>
  </si>
  <si>
    <t>Operating Margin (OPM)</t>
  </si>
  <si>
    <t>Operating Profit / Sales</t>
  </si>
  <si>
    <t>Net Profit / Sales</t>
  </si>
  <si>
    <t>Return on Equity (ROE)</t>
  </si>
  <si>
    <t>Net Profit / Average Shareholders' Equity</t>
  </si>
  <si>
    <t>Return on Capital Employed (ROCE)</t>
  </si>
  <si>
    <t>EBIT / Average Capital Employed</t>
  </si>
  <si>
    <t>Return on Assets (ROA)</t>
  </si>
  <si>
    <t>Net Profit / Average Total Assets</t>
  </si>
  <si>
    <t>Sales / Average Total Assets</t>
  </si>
  <si>
    <t>As reported</t>
  </si>
  <si>
    <t>Payable Days</t>
  </si>
  <si>
    <t>Cash Conversion Cycle (days)</t>
  </si>
  <si>
    <t>Debtor Days + Inventory Days − Payable Days</t>
  </si>
  <si>
    <t>Leverage &amp; Coverage</t>
  </si>
  <si>
    <t>Borrowings / Shareholders' Equity (year-end)</t>
  </si>
  <si>
    <t>Interest Coverage</t>
  </si>
  <si>
    <t>EBIT / Interest</t>
  </si>
  <si>
    <t>Cash Flow &amp; Payout</t>
  </si>
  <si>
    <t>CFO / Net Profit (earnings quality)</t>
  </si>
  <si>
    <t>Cash from Operations / Net Profit</t>
  </si>
  <si>
    <t>Free Cash Flow Margin</t>
  </si>
  <si>
    <t>Free Cash Flow / Sales</t>
  </si>
  <si>
    <t>Dividend Payout</t>
  </si>
  <si>
    <t>DuPont Analysis of ROE</t>
  </si>
  <si>
    <t>Average Total Assets / Average Equity</t>
  </si>
  <si>
    <t>ROE (DuPont product)</t>
  </si>
  <si>
    <t>Product of the three components; should equal ROE above</t>
  </si>
  <si>
    <t>Peer Comparison</t>
  </si>
  <si>
    <t>Linked to the Ratios and Financials sheets. Rank 1 = best (for Debt/Equity and Cash Conversion Cycle, lower is better).</t>
  </si>
  <si>
    <t>FY26 Snapshot</t>
  </si>
  <si>
    <t>Revenue CAGR (FY21–FY26)</t>
  </si>
  <si>
    <t>Net Profit CAGR (FY21–FY26)</t>
  </si>
  <si>
    <t>ROA</t>
  </si>
  <si>
    <t>CFO / Net Profit</t>
  </si>
  <si>
    <t>5-Year Average (FY22–FY26)</t>
  </si>
  <si>
    <t>FY26 Ranking (1 = best)</t>
  </si>
  <si>
    <t>Peer Trend Charts</t>
  </si>
  <si>
    <t>Trend tables (linked to Ratios) feed the charts on the right.</t>
  </si>
  <si>
    <t>Key</t>
  </si>
  <si>
    <t>Selected year index</t>
  </si>
  <si>
    <t>HUL|Sales</t>
  </si>
  <si>
    <t>HUL|NP</t>
  </si>
  <si>
    <t>HUL|opm</t>
  </si>
  <si>
    <t>HUL|npm</t>
  </si>
  <si>
    <t>HUL|roe</t>
  </si>
  <si>
    <t>HUL|roce</t>
  </si>
  <si>
    <t>HUL|roa</t>
  </si>
  <si>
    <t>HUL|at</t>
  </si>
  <si>
    <t>HUL|ccc</t>
  </si>
  <si>
    <t>HUL|de</t>
  </si>
  <si>
    <t>HUL|fcfm</t>
  </si>
  <si>
    <t>HUL|g_sales</t>
  </si>
  <si>
    <t>HUL|g_np</t>
  </si>
  <si>
    <t>HUL|dp_npm</t>
  </si>
  <si>
    <t>HUL|dp_at</t>
  </si>
  <si>
    <t>HUL|dp_em</t>
  </si>
  <si>
    <t>HUL|dp_roe</t>
  </si>
  <si>
    <t>ITC|Sales</t>
  </si>
  <si>
    <t>ITC|NP</t>
  </si>
  <si>
    <t>ITC|opm</t>
  </si>
  <si>
    <t>ITC|npm</t>
  </si>
  <si>
    <t>ITC|roe</t>
  </si>
  <si>
    <t>ITC|roce</t>
  </si>
  <si>
    <t>ITC|roa</t>
  </si>
  <si>
    <t>ITC|at</t>
  </si>
  <si>
    <t>ITC|ccc</t>
  </si>
  <si>
    <t>ITC|de</t>
  </si>
  <si>
    <t>ITC|fcfm</t>
  </si>
  <si>
    <t>ITC|g_sales</t>
  </si>
  <si>
    <t>ITC|g_np</t>
  </si>
  <si>
    <t>ITC|dp_npm</t>
  </si>
  <si>
    <t>ITC|dp_at</t>
  </si>
  <si>
    <t>ITC|dp_em</t>
  </si>
  <si>
    <t>ITC|dp_roe</t>
  </si>
  <si>
    <t>Dabur|Sales</t>
  </si>
  <si>
    <t>Dabur|NP</t>
  </si>
  <si>
    <t>Dabur|opm</t>
  </si>
  <si>
    <t>Dabur|npm</t>
  </si>
  <si>
    <t>Dabur|roe</t>
  </si>
  <si>
    <t>Dabur|roce</t>
  </si>
  <si>
    <t>Dabur|roa</t>
  </si>
  <si>
    <t>Dabur|at</t>
  </si>
  <si>
    <t>Dabur|ccc</t>
  </si>
  <si>
    <t>Dabur|de</t>
  </si>
  <si>
    <t>Dabur|fcfm</t>
  </si>
  <si>
    <t>Dabur|g_sales</t>
  </si>
  <si>
    <t>Dabur|g_np</t>
  </si>
  <si>
    <t>Dabur|dp_npm</t>
  </si>
  <si>
    <t>Dabur|dp_at</t>
  </si>
  <si>
    <t>Dabur|dp_em</t>
  </si>
  <si>
    <t>Dabur|dp_roe</t>
  </si>
  <si>
    <t>Britannia|Sales</t>
  </si>
  <si>
    <t>Britannia|NP</t>
  </si>
  <si>
    <t>Britannia|opm</t>
  </si>
  <si>
    <t>Britannia|npm</t>
  </si>
  <si>
    <t>Britannia|roe</t>
  </si>
  <si>
    <t>Britannia|roce</t>
  </si>
  <si>
    <t>Britannia|roa</t>
  </si>
  <si>
    <t>Britannia|at</t>
  </si>
  <si>
    <t>Britannia|ccc</t>
  </si>
  <si>
    <t>Britannia|de</t>
  </si>
  <si>
    <t>Britannia|fcfm</t>
  </si>
  <si>
    <t>Britannia|g_sales</t>
  </si>
  <si>
    <t>Britannia|g_np</t>
  </si>
  <si>
    <t>Britannia|dp_npm</t>
  </si>
  <si>
    <t>Britannia|dp_at</t>
  </si>
  <si>
    <t>Britannia|dp_em</t>
  </si>
  <si>
    <t>Britannia|dp_roe</t>
  </si>
  <si>
    <t>Marico|Sales</t>
  </si>
  <si>
    <t>Marico|NP</t>
  </si>
  <si>
    <t>Marico|opm</t>
  </si>
  <si>
    <t>Marico|npm</t>
  </si>
  <si>
    <t>Marico|roe</t>
  </si>
  <si>
    <t>Marico|roce</t>
  </si>
  <si>
    <t>Marico|roa</t>
  </si>
  <si>
    <t>Marico|at</t>
  </si>
  <si>
    <t>Marico|ccc</t>
  </si>
  <si>
    <t>Marico|de</t>
  </si>
  <si>
    <t>Marico|fcfm</t>
  </si>
  <si>
    <t>Marico|g_sales</t>
  </si>
  <si>
    <t>Marico|g_np</t>
  </si>
  <si>
    <t>Marico|dp_npm</t>
  </si>
  <si>
    <t>Marico|dp_at</t>
  </si>
  <si>
    <t>Marico|dp_em</t>
  </si>
  <si>
    <t>Marico|dp_roe</t>
  </si>
  <si>
    <t>Lookup sheet for the Dashboard. Every value links to Financials or Ratios. Do not edit.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</si>
</sst>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₹#,##0&quot; cr&quot;"/>
    <numFmt numFmtId="165" formatCode="0.0%"/>
    <numFmt numFmtId="166" formatCode="0&quot; days&quot;;\-0&quot; days&quot;"/>
    <numFmt numFmtId="167" formatCode="0.00\x"/>
    <numFmt numFmtId="168" formatCode="0;\(0\)"/>
    <numFmt numFmtId="169" formatCode="0.0%;\(0.0%\)"/>
    <numFmt numFmtId="170" formatCode="#,##0;\(#,##0\);\-"/>
    <numFmt numFmtId="171" formatCode="0.0%;\(0.0%\);\-"/>
    <numFmt numFmtId="172" formatCode="0;\(0\);\-"/>
    <numFmt numFmtId="173" formatCode="0.00\x;\(0.00&quot;x)&quot;;\-"/>
  </numFmts>
  <fonts count="2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b/>
      <sz val="18"/>
      <color rgb="FFFFFFFF"/>
      <name val="Arial"/>
      <charset val="1"/>
    </font>
    <font>
      <i/>
      <sz val="11"/>
      <color rgb="FF595959"/>
      <name val="Arial"/>
      <charset val="1"/>
    </font>
    <font>
      <b/>
      <sz val="12"/>
      <color rgb="FF0000FF"/>
      <name val="Arial"/>
      <charset val="1"/>
    </font>
    <font>
      <i/>
      <sz val="11"/>
      <color rgb="FFC00000"/>
      <name val="Arial"/>
      <charset val="1"/>
    </font>
    <font>
      <b/>
      <sz val="10"/>
      <color rgb="FF595959"/>
      <name val="Arial"/>
      <charset val="1"/>
    </font>
    <font>
      <b/>
      <sz val="18"/>
      <color rgb="FF1F3864"/>
      <name val="Arial"/>
      <charset val="1"/>
    </font>
    <font>
      <sz val="9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i/>
      <sz val="10"/>
      <name val="Arial"/>
      <charset val="1"/>
    </font>
    <font>
      <b/>
      <sz val="9"/>
      <color rgb="FFFFFFFF"/>
      <name val="Arial"/>
      <charset val="1"/>
    </font>
    <font>
      <b/>
      <i/>
      <sz val="9"/>
      <name val="Arial"/>
      <charset val="1"/>
    </font>
    <font>
      <i/>
      <sz val="8"/>
      <color rgb="FF595959"/>
      <name val="Arial"/>
      <charset val="1"/>
    </font>
    <font>
      <b/>
      <sz val="13"/>
      <name val="Arial"/>
      <charset val="1"/>
    </font>
    <font>
      <sz val="11"/>
      <color theme="1"/>
      <name val="Arial"/>
      <charset val="1"/>
    </font>
    <font>
      <sz val="10"/>
      <name val="Arial"/>
      <family val="2"/>
    </font>
    <font>
      <sz val="9"/>
      <color rgb="FF595959"/>
      <name val="Arial"/>
      <charset val="1"/>
    </font>
    <font>
      <sz val="11"/>
      <color rgb="FFA6A6A6"/>
      <name val="Arial"/>
      <charset val="1"/>
    </font>
    <font>
      <b/>
      <sz val="1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5FA"/>
        <bgColor rgb="FFFFFFFF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6" fillId="0" borderId="0" xfId="0" applyFont="1" applyAlignment="1">
      <alignment vertical="top" wrapText="1"/>
    </xf>
    <xf numFmtId="0" fontId="7" fillId="4" borderId="3" xfId="0" applyFont="1" applyFill="1" applyBorder="1"/>
    <xf numFmtId="0" fontId="3" fillId="4" borderId="3" xfId="0" applyFont="1" applyFill="1" applyBorder="1"/>
    <xf numFmtId="0" fontId="2" fillId="0" borderId="0" xfId="0" applyFont="1"/>
    <xf numFmtId="0" fontId="13" fillId="0" borderId="2" xfId="0" applyFont="1" applyBorder="1"/>
    <xf numFmtId="0" fontId="12" fillId="4" borderId="0" xfId="0" applyFont="1" applyFill="1" applyAlignment="1">
      <alignment horizontal="center" vertical="center"/>
    </xf>
    <xf numFmtId="167" fontId="11" fillId="4" borderId="0" xfId="0" applyNumberFormat="1" applyFont="1" applyFill="1" applyAlignment="1">
      <alignment horizontal="center" vertical="center"/>
    </xf>
    <xf numFmtId="166" fontId="11" fillId="4" borderId="0" xfId="0" applyNumberFormat="1" applyFont="1" applyFill="1" applyAlignment="1">
      <alignment horizontal="center" vertical="center"/>
    </xf>
    <xf numFmtId="165" fontId="11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6" fillId="2" borderId="0" xfId="0" applyFont="1" applyFill="1" applyAlignment="1">
      <alignment vertical="center" inden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/>
    <xf numFmtId="0" fontId="3" fillId="0" borderId="0" xfId="0" applyFont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right"/>
    </xf>
    <xf numFmtId="0" fontId="2" fillId="4" borderId="0" xfId="0" applyFont="1" applyFill="1"/>
    <xf numFmtId="3" fontId="2" fillId="4" borderId="0" xfId="0" applyNumberFormat="1" applyFont="1" applyFill="1"/>
    <xf numFmtId="0" fontId="2" fillId="0" borderId="0" xfId="0" applyFont="1"/>
    <xf numFmtId="3" fontId="2" fillId="0" borderId="0" xfId="0" applyNumberFormat="1" applyFont="1"/>
    <xf numFmtId="165" fontId="2" fillId="4" borderId="0" xfId="0" applyNumberFormat="1" applyFont="1" applyFill="1"/>
    <xf numFmtId="165" fontId="2" fillId="0" borderId="0" xfId="0" applyNumberFormat="1" applyFont="1"/>
    <xf numFmtId="168" fontId="2" fillId="0" borderId="0" xfId="0" applyNumberFormat="1" applyFont="1"/>
    <xf numFmtId="169" fontId="2" fillId="4" borderId="0" xfId="0" applyNumberFormat="1" applyFont="1" applyFill="1"/>
    <xf numFmtId="165" fontId="15" fillId="0" borderId="0" xfId="0" applyNumberFormat="1" applyFont="1"/>
    <xf numFmtId="167" fontId="15" fillId="0" borderId="0" xfId="0" applyNumberFormat="1" applyFont="1"/>
    <xf numFmtId="165" fontId="15" fillId="4" borderId="3" xfId="0" applyNumberFormat="1" applyFont="1" applyFill="1" applyBorder="1"/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3" fillId="0" borderId="0" xfId="0" applyFont="1"/>
    <xf numFmtId="3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18" fillId="0" borderId="0" xfId="0" applyFont="1"/>
    <xf numFmtId="0" fontId="15" fillId="0" borderId="3" xfId="0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5" borderId="0" xfId="0" applyFont="1" applyFill="1"/>
    <xf numFmtId="0" fontId="3" fillId="5" borderId="0" xfId="0" applyFont="1" applyFill="1"/>
    <xf numFmtId="0" fontId="0" fillId="5" borderId="0" xfId="0" applyFill="1"/>
    <xf numFmtId="170" fontId="4" fillId="0" borderId="0" xfId="0" applyNumberFormat="1" applyFont="1"/>
    <xf numFmtId="4" fontId="4" fillId="0" borderId="0" xfId="0" applyNumberFormat="1" applyFont="1"/>
    <xf numFmtId="171" fontId="4" fillId="0" borderId="0" xfId="0" applyNumberFormat="1" applyFont="1"/>
    <xf numFmtId="170" fontId="21" fillId="0" borderId="0" xfId="0" applyNumberFormat="1" applyFont="1"/>
    <xf numFmtId="172" fontId="4" fillId="0" borderId="0" xfId="0" applyNumberFormat="1" applyFont="1"/>
    <xf numFmtId="0" fontId="21" fillId="5" borderId="0" xfId="0" applyFont="1" applyFill="1"/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right"/>
    </xf>
    <xf numFmtId="171" fontId="2" fillId="0" borderId="0" xfId="0" applyNumberFormat="1" applyFont="1"/>
    <xf numFmtId="171" fontId="3" fillId="0" borderId="0" xfId="0" applyNumberFormat="1" applyFont="1"/>
    <xf numFmtId="173" fontId="2" fillId="0" borderId="0" xfId="0" applyNumberFormat="1" applyFont="1"/>
    <xf numFmtId="173" fontId="3" fillId="0" borderId="0" xfId="0" applyNumberFormat="1" applyFont="1"/>
    <xf numFmtId="172" fontId="5" fillId="0" borderId="0" xfId="0" applyNumberFormat="1" applyFont="1"/>
    <xf numFmtId="172" fontId="3" fillId="0" borderId="0" xfId="0" applyNumberFormat="1" applyFont="1"/>
    <xf numFmtId="172" fontId="2" fillId="0" borderId="0" xfId="0" applyNumberFormat="1" applyFont="1"/>
    <xf numFmtId="171" fontId="5" fillId="0" borderId="0" xfId="0" applyNumberFormat="1" applyFont="1"/>
    <xf numFmtId="0" fontId="14" fillId="2" borderId="0" xfId="0" applyFont="1" applyFill="1" applyAlignment="1">
      <alignment horizontal="center"/>
    </xf>
    <xf numFmtId="173" fontId="5" fillId="0" borderId="0" xfId="0" applyNumberFormat="1" applyFont="1"/>
    <xf numFmtId="0" fontId="21" fillId="0" borderId="0" xfId="0" applyFont="1" applyAlignment="1">
      <alignment horizontal="center"/>
    </xf>
    <xf numFmtId="0" fontId="25" fillId="0" borderId="0" xfId="0" applyFont="1"/>
    <xf numFmtId="0" fontId="14" fillId="2" borderId="0" xfId="0" applyFont="1" applyFill="1"/>
    <xf numFmtId="170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13">
    <dxf>
      <font>
        <b/>
        <color rgb="FFC00000"/>
        <name val="Arial"/>
        <charset val="1"/>
      </font>
    </dxf>
    <dxf>
      <font>
        <b/>
        <color rgb="FF008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8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8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8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008000"/>
        <name val="Arial"/>
        <charset val="1"/>
      </font>
    </dxf>
    <dxf>
      <font>
        <b/>
        <color rgb="FF0000FF"/>
        <name val="Arial"/>
        <charset val="1"/>
      </font>
      <fill>
        <patternFill>
          <bgColor rgb="FFFFFF00"/>
        </patternFill>
      </fill>
    </dxf>
    <dxf>
      <font>
        <b/>
        <color rgb="FFC00000"/>
        <name val="Arial"/>
        <charset val="1"/>
      </font>
    </dxf>
    <dxf>
      <font>
        <b/>
        <color rgb="FF008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5FA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A6A6A6"/>
      <rgbColor rgb="FF1F3864"/>
      <rgbColor rgb="FF4F81BD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Net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Sales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Dashboard!$C$13:$G$13</c:f>
              <c:numCache>
                <c:formatCode>#,##0</c:formatCode>
                <c:ptCount val="5"/>
                <c:pt idx="0">
                  <c:v>9512</c:v>
                </c:pt>
                <c:pt idx="1">
                  <c:v>9764</c:v>
                </c:pt>
                <c:pt idx="2">
                  <c:v>9653</c:v>
                </c:pt>
                <c:pt idx="3">
                  <c:v>10831</c:v>
                </c:pt>
                <c:pt idx="4">
                  <c:v>13611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5-457F-A199-96938C64F1E8}"/>
            </c:ext>
          </c:extLst>
        </c:ser>
        <c:ser>
          <c:idx val="1"/>
          <c:order val="1"/>
          <c:tx>
            <c:strRef>
              <c:f>Dashboard!$B$14</c:f>
              <c:strCache>
                <c:ptCount val="1"/>
                <c:pt idx="0">
                  <c:v>Net Profit (₹ 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Dashboard!$C$14:$G$14</c:f>
              <c:numCache>
                <c:formatCode>#,##0</c:formatCode>
                <c:ptCount val="5"/>
                <c:pt idx="0">
                  <c:v>1255</c:v>
                </c:pt>
                <c:pt idx="1">
                  <c:v>1322</c:v>
                </c:pt>
                <c:pt idx="2">
                  <c:v>1502</c:v>
                </c:pt>
                <c:pt idx="3">
                  <c:v>1658</c:v>
                </c:pt>
                <c:pt idx="4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5-457F-A199-96938C64F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45102"/>
        <c:axId val="88518615"/>
      </c:barChart>
      <c:catAx>
        <c:axId val="31245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18615"/>
        <c:crosses val="autoZero"/>
        <c:auto val="1"/>
        <c:lblAlgn val="ctr"/>
        <c:lblOffset val="100"/>
        <c:noMultiLvlLbl val="0"/>
      </c:catAx>
      <c:valAx>
        <c:axId val="88518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451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Margin &amp;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Dashboard!$C$15:$G$15</c:f>
              <c:numCache>
                <c:formatCode>0.0%</c:formatCode>
                <c:ptCount val="5"/>
                <c:pt idx="0">
                  <c:v>0.17672413793103448</c:v>
                </c:pt>
                <c:pt idx="1">
                  <c:v>0.18537484637443671</c:v>
                </c:pt>
                <c:pt idx="2">
                  <c:v>0.20988293794675231</c:v>
                </c:pt>
                <c:pt idx="3">
                  <c:v>0.19748868987166468</c:v>
                </c:pt>
                <c:pt idx="4">
                  <c:v>0.17103813092351774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E-4E54-B095-F261A73952F0}"/>
            </c:ext>
          </c:extLst>
        </c:ser>
        <c:ser>
          <c:idx val="1"/>
          <c:order val="1"/>
          <c:tx>
            <c:strRef>
              <c:f>Dashboard!$B$16</c:f>
              <c:strCache>
                <c:ptCount val="1"/>
                <c:pt idx="0">
                  <c:v>ROE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Dashboard!$C$16:$G$16</c:f>
              <c:numCache>
                <c:formatCode>0.0%</c:formatCode>
                <c:ptCount val="5"/>
                <c:pt idx="0">
                  <c:v>0.38099574984820889</c:v>
                </c:pt>
                <c:pt idx="1">
                  <c:v>0.36994543164964322</c:v>
                </c:pt>
                <c:pt idx="2">
                  <c:v>0.39365744987550777</c:v>
                </c:pt>
                <c:pt idx="3">
                  <c:v>0.42474702190342001</c:v>
                </c:pt>
                <c:pt idx="4">
                  <c:v>0.4430054978619426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E-4E54-B095-F261A73952F0}"/>
            </c:ext>
          </c:extLst>
        </c:ser>
        <c:ser>
          <c:idx val="2"/>
          <c:order val="2"/>
          <c:tx>
            <c:strRef>
              <c:f>Dashboard!$B$17</c:f>
              <c:strCache>
                <c:ptCount val="1"/>
                <c:pt idx="0">
                  <c:v>ROCE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Dashboard!$C$12:$G$12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Dashboard!$C$17:$G$17</c:f>
              <c:numCache>
                <c:formatCode>0.0%</c:formatCode>
                <c:ptCount val="5"/>
                <c:pt idx="0">
                  <c:v>0.43283188176299814</c:v>
                </c:pt>
                <c:pt idx="1">
                  <c:v>0.43696866650473648</c:v>
                </c:pt>
                <c:pt idx="2">
                  <c:v>0.45853769818638074</c:v>
                </c:pt>
                <c:pt idx="3">
                  <c:v>0.48801889976375296</c:v>
                </c:pt>
                <c:pt idx="4">
                  <c:v>0.50129087779690185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E-4E54-B095-F261A739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24228"/>
        <c:axId val="43640438"/>
      </c:lineChart>
      <c:catAx>
        <c:axId val="5224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640438"/>
        <c:crosses val="autoZero"/>
        <c:auto val="1"/>
        <c:lblAlgn val="ctr"/>
        <c:lblOffset val="100"/>
        <c:noMultiLvlLbl val="0"/>
      </c:catAx>
      <c:valAx>
        <c:axId val="43640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242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ROE by Company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Dashboard!$B$40:$B$44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Dashboard!$G$40:$G$44</c:f>
              <c:numCache>
                <c:formatCode>0.0%</c:formatCode>
                <c:ptCount val="5"/>
                <c:pt idx="0">
                  <c:v>0.20415639309616063</c:v>
                </c:pt>
                <c:pt idx="1">
                  <c:v>0.29598054859053263</c:v>
                </c:pt>
                <c:pt idx="2">
                  <c:v>0.19602420051858255</c:v>
                </c:pt>
                <c:pt idx="3">
                  <c:v>0.76034143138542354</c:v>
                </c:pt>
                <c:pt idx="4">
                  <c:v>0.36994543164964322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C-4C73-82EE-395C32DEF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4815"/>
        <c:axId val="60223782"/>
      </c:barChart>
      <c:catAx>
        <c:axId val="808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23782"/>
        <c:crosses val="autoZero"/>
        <c:auto val="1"/>
        <c:lblAlgn val="ctr"/>
        <c:lblOffset val="100"/>
        <c:noMultiLvlLbl val="0"/>
      </c:catAx>
      <c:valAx>
        <c:axId val="602237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48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Operating Margin by Company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Dashboard!$B$40:$B$44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Dashboard!$E$40:$E$44</c:f>
              <c:numCache>
                <c:formatCode>0.0%</c:formatCode>
                <c:ptCount val="5"/>
                <c:pt idx="0">
                  <c:v>0.23352591614394189</c:v>
                </c:pt>
                <c:pt idx="1">
                  <c:v>0.36244165879383522</c:v>
                </c:pt>
                <c:pt idx="2">
                  <c:v>0.18751084128360798</c:v>
                </c:pt>
                <c:pt idx="3">
                  <c:v>0.1736703269738053</c:v>
                </c:pt>
                <c:pt idx="4">
                  <c:v>0.18537484637443671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2-4C05-8426-3B8CE884F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2362"/>
        <c:axId val="73905408"/>
      </c:barChart>
      <c:catAx>
        <c:axId val="806236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05408"/>
        <c:crosses val="autoZero"/>
        <c:auto val="1"/>
        <c:lblAlgn val="ctr"/>
        <c:lblOffset val="100"/>
        <c:noMultiLvlLbl val="0"/>
      </c:catAx>
      <c:valAx>
        <c:axId val="739054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23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Operating Margin (OPM)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Charts!$B$5</c:f>
              <c:strCache>
                <c:ptCount val="1"/>
                <c:pt idx="0">
                  <c:v>HUL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Charts!$B$6:$B$10</c:f>
              <c:numCache>
                <c:formatCode>0.0%;\(0.0%\);\-</c:formatCode>
                <c:ptCount val="5"/>
                <c:pt idx="0">
                  <c:v>0.24514738969606834</c:v>
                </c:pt>
                <c:pt idx="1">
                  <c:v>0.23352591614394189</c:v>
                </c:pt>
                <c:pt idx="2">
                  <c:v>0.23683275171255008</c:v>
                </c:pt>
                <c:pt idx="3">
                  <c:v>0.23966214453430734</c:v>
                </c:pt>
                <c:pt idx="4">
                  <c:v>0.23327852578023206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5-4F2E-BE17-F76DC00CFE4A}"/>
            </c:ext>
          </c:extLst>
        </c:ser>
        <c:ser>
          <c:idx val="1"/>
          <c:order val="1"/>
          <c:tx>
            <c:strRef>
              <c:f>Charts!$C$5</c:f>
              <c:strCache>
                <c:ptCount val="1"/>
                <c:pt idx="0">
                  <c:v>ITC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Charts!$C$6:$C$10</c:f>
              <c:numCache>
                <c:formatCode>0.0%;\(0.0%\);\-</c:formatCode>
                <c:ptCount val="5"/>
                <c:pt idx="0">
                  <c:v>0.34006101080056061</c:v>
                </c:pt>
                <c:pt idx="1">
                  <c:v>0.36244165879383522</c:v>
                </c:pt>
                <c:pt idx="2">
                  <c:v>0.37078254725313547</c:v>
                </c:pt>
                <c:pt idx="3">
                  <c:v>0.34294969663980457</c:v>
                </c:pt>
                <c:pt idx="4">
                  <c:v>0.34622407059897553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5-4F2E-BE17-F76DC00CFE4A}"/>
            </c:ext>
          </c:extLst>
        </c:ser>
        <c:ser>
          <c:idx val="2"/>
          <c:order val="2"/>
          <c:tx>
            <c:strRef>
              <c:f>Charts!$D$5</c:f>
              <c:strCache>
                <c:ptCount val="1"/>
                <c:pt idx="0">
                  <c:v>Dabur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Charts!$D$6:$D$10</c:f>
              <c:numCache>
                <c:formatCode>0.0%;\(0.0%\);\-</c:formatCode>
                <c:ptCount val="5"/>
                <c:pt idx="0">
                  <c:v>0.20681421618146753</c:v>
                </c:pt>
                <c:pt idx="1">
                  <c:v>0.18751084128360798</c:v>
                </c:pt>
                <c:pt idx="2">
                  <c:v>0.19348597226701064</c:v>
                </c:pt>
                <c:pt idx="3">
                  <c:v>0.1843508716071002</c:v>
                </c:pt>
                <c:pt idx="4">
                  <c:v>0.18570454028651559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5-4F2E-BE17-F76DC00CFE4A}"/>
            </c:ext>
          </c:extLst>
        </c:ser>
        <c:ser>
          <c:idx val="3"/>
          <c:order val="3"/>
          <c:tx>
            <c:strRef>
              <c:f>Charts!$E$5</c:f>
              <c:strCache>
                <c:ptCount val="1"/>
                <c:pt idx="0">
                  <c:v>Britannia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Charts!$E$6:$E$10</c:f>
              <c:numCache>
                <c:formatCode>0.0%;\(0.0%\);\-</c:formatCode>
                <c:ptCount val="5"/>
                <c:pt idx="0">
                  <c:v>0.15570175438596492</c:v>
                </c:pt>
                <c:pt idx="1">
                  <c:v>0.1736703269738053</c:v>
                </c:pt>
                <c:pt idx="2">
                  <c:v>0.18886039716142883</c:v>
                </c:pt>
                <c:pt idx="3">
                  <c:v>0.17700496015159115</c:v>
                </c:pt>
                <c:pt idx="4">
                  <c:v>0.18347953216374269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45-4F2E-BE17-F76DC00CFE4A}"/>
            </c:ext>
          </c:extLst>
        </c:ser>
        <c:ser>
          <c:idx val="4"/>
          <c:order val="4"/>
          <c:tx>
            <c:strRef>
              <c:f>Charts!$F$5</c:f>
              <c:strCache>
                <c:ptCount val="1"/>
                <c:pt idx="0">
                  <c:v>Marico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Charts!$F$6:$F$10</c:f>
              <c:numCache>
                <c:formatCode>0.0%;\(0.0%\);\-</c:formatCode>
                <c:ptCount val="5"/>
                <c:pt idx="0">
                  <c:v>0.17672413793103448</c:v>
                </c:pt>
                <c:pt idx="1">
                  <c:v>0.18537484637443671</c:v>
                </c:pt>
                <c:pt idx="2">
                  <c:v>0.20988293794675231</c:v>
                </c:pt>
                <c:pt idx="3">
                  <c:v>0.19748868987166468</c:v>
                </c:pt>
                <c:pt idx="4">
                  <c:v>0.17103813092351774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45-4F2E-BE17-F76DC00CF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142312"/>
        <c:axId val="2859964"/>
      </c:lineChart>
      <c:catAx>
        <c:axId val="6514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59964"/>
        <c:crosses val="autoZero"/>
        <c:auto val="1"/>
        <c:lblAlgn val="ctr"/>
        <c:lblOffset val="100"/>
        <c:noMultiLvlLbl val="0"/>
      </c:catAx>
      <c:valAx>
        <c:axId val="2859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42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Return on Equity (ROE)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Charts!$B$14</c:f>
              <c:strCache>
                <c:ptCount val="1"/>
                <c:pt idx="0">
                  <c:v>HUL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Charts!$B$15:$B$19</c:f>
              <c:numCache>
                <c:formatCode>0.0%;\(0.0%\);\-</c:formatCode>
                <c:ptCount val="5"/>
                <c:pt idx="0">
                  <c:v>0.18384245619475889</c:v>
                </c:pt>
                <c:pt idx="1">
                  <c:v>0.20415639309616063</c:v>
                </c:pt>
                <c:pt idx="2">
                  <c:v>0.20255708122377417</c:v>
                </c:pt>
                <c:pt idx="3">
                  <c:v>0.21210494931425164</c:v>
                </c:pt>
                <c:pt idx="4">
                  <c:v>0.30688499200130426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9-4309-BD71-B8229ABE2E82}"/>
            </c:ext>
          </c:extLst>
        </c:ser>
        <c:ser>
          <c:idx val="1"/>
          <c:order val="1"/>
          <c:tx>
            <c:strRef>
              <c:f>Charts!$C$14</c:f>
              <c:strCache>
                <c:ptCount val="1"/>
                <c:pt idx="0">
                  <c:v>ITC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Charts!$C$15:$C$19</c:f>
              <c:numCache>
                <c:formatCode>0.0%;\(0.0%\);\-</c:formatCode>
                <c:ptCount val="5"/>
                <c:pt idx="0">
                  <c:v>0.25248774449927525</c:v>
                </c:pt>
                <c:pt idx="1">
                  <c:v>0.29598054859053263</c:v>
                </c:pt>
                <c:pt idx="2">
                  <c:v>0.2888864139438404</c:v>
                </c:pt>
                <c:pt idx="3">
                  <c:v>0.48502459577824364</c:v>
                </c:pt>
                <c:pt idx="4">
                  <c:v>0.2949128998084708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9-4309-BD71-B8229ABE2E82}"/>
            </c:ext>
          </c:extLst>
        </c:ser>
        <c:ser>
          <c:idx val="2"/>
          <c:order val="2"/>
          <c:tx>
            <c:strRef>
              <c:f>Charts!$D$14</c:f>
              <c:strCache>
                <c:ptCount val="1"/>
                <c:pt idx="0">
                  <c:v>Dabur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Charts!$D$15:$D$19</c:f>
              <c:numCache>
                <c:formatCode>0.0%;\(0.0%\);\-</c:formatCode>
                <c:ptCount val="5"/>
                <c:pt idx="0">
                  <c:v>0.21712576343013834</c:v>
                </c:pt>
                <c:pt idx="1">
                  <c:v>0.19602420051858255</c:v>
                </c:pt>
                <c:pt idx="2">
                  <c:v>0.19226073570784011</c:v>
                </c:pt>
                <c:pt idx="3">
                  <c:v>0.16839252879125133</c:v>
                </c:pt>
                <c:pt idx="4">
                  <c:v>0.16823439398712814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9-4309-BD71-B8229ABE2E82}"/>
            </c:ext>
          </c:extLst>
        </c:ser>
        <c:ser>
          <c:idx val="3"/>
          <c:order val="3"/>
          <c:tx>
            <c:strRef>
              <c:f>Charts!$E$14</c:f>
              <c:strCache>
                <c:ptCount val="1"/>
                <c:pt idx="0">
                  <c:v>Britannia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Charts!$E$15:$E$19</c:f>
              <c:numCache>
                <c:formatCode>0.0%;\(0.0%\);\-</c:formatCode>
                <c:ptCount val="5"/>
                <c:pt idx="0">
                  <c:v>0.49656075990828691</c:v>
                </c:pt>
                <c:pt idx="1">
                  <c:v>0.76034143138542354</c:v>
                </c:pt>
                <c:pt idx="2">
                  <c:v>0.57096989966555189</c:v>
                </c:pt>
                <c:pt idx="3">
                  <c:v>0.52500903941183563</c:v>
                </c:pt>
                <c:pt idx="4">
                  <c:v>0.53625026421475375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9-4309-BD71-B8229ABE2E82}"/>
            </c:ext>
          </c:extLst>
        </c:ser>
        <c:ser>
          <c:idx val="4"/>
          <c:order val="4"/>
          <c:tx>
            <c:strRef>
              <c:f>Charts!$F$14</c:f>
              <c:strCache>
                <c:ptCount val="1"/>
                <c:pt idx="0">
                  <c:v>Marico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Charts!$A$15:$A$19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Charts!$F$15:$F$19</c:f>
              <c:numCache>
                <c:formatCode>0.0%;\(0.0%\);\-</c:formatCode>
                <c:ptCount val="5"/>
                <c:pt idx="0">
                  <c:v>0.38099574984820889</c:v>
                </c:pt>
                <c:pt idx="1">
                  <c:v>0.36994543164964322</c:v>
                </c:pt>
                <c:pt idx="2">
                  <c:v>0.39365744987550777</c:v>
                </c:pt>
                <c:pt idx="3">
                  <c:v>0.42474702190342001</c:v>
                </c:pt>
                <c:pt idx="4">
                  <c:v>0.4430054978619426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19-4309-BD71-B8229ABE2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252292"/>
        <c:axId val="80800742"/>
      </c:lineChart>
      <c:catAx>
        <c:axId val="50252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00742"/>
        <c:crosses val="autoZero"/>
        <c:auto val="1"/>
        <c:lblAlgn val="ctr"/>
        <c:lblOffset val="100"/>
        <c:noMultiLvlLbl val="0"/>
      </c:catAx>
      <c:valAx>
        <c:axId val="80800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52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Return on Capital Employed (ROCE)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Charts!$B$23</c:f>
              <c:strCache>
                <c:ptCount val="1"/>
                <c:pt idx="0">
                  <c:v>HUL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Charts!$B$24:$B$28</c:f>
              <c:numCache>
                <c:formatCode>0.0%;\(0.0%\);\-</c:formatCode>
                <c:ptCount val="5"/>
                <c:pt idx="0">
                  <c:v>0.2451471701200679</c:v>
                </c:pt>
                <c:pt idx="1">
                  <c:v>0.26485087624351794</c:v>
                </c:pt>
                <c:pt idx="2">
                  <c:v>0.27363876229311584</c:v>
                </c:pt>
                <c:pt idx="3">
                  <c:v>0.28529570514303337</c:v>
                </c:pt>
                <c:pt idx="4">
                  <c:v>0.36791847294775198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B-4D2F-8060-CDE959699CCE}"/>
            </c:ext>
          </c:extLst>
        </c:ser>
        <c:ser>
          <c:idx val="1"/>
          <c:order val="1"/>
          <c:tx>
            <c:strRef>
              <c:f>Charts!$C$23</c:f>
              <c:strCache>
                <c:ptCount val="1"/>
                <c:pt idx="0">
                  <c:v>ITC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Charts!$C$24:$C$28</c:f>
              <c:numCache>
                <c:formatCode>0.0%;\(0.0%\);\-</c:formatCode>
                <c:ptCount val="5"/>
                <c:pt idx="0">
                  <c:v>0.33732829503251649</c:v>
                </c:pt>
                <c:pt idx="1">
                  <c:v>0.3933416562630046</c:v>
                </c:pt>
                <c:pt idx="2">
                  <c:v>0.37429559648162142</c:v>
                </c:pt>
                <c:pt idx="3">
                  <c:v>0.57864599483204138</c:v>
                </c:pt>
                <c:pt idx="4">
                  <c:v>0.38724426907954085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B-4D2F-8060-CDE959699CCE}"/>
            </c:ext>
          </c:extLst>
        </c:ser>
        <c:ser>
          <c:idx val="2"/>
          <c:order val="2"/>
          <c:tx>
            <c:strRef>
              <c:f>Charts!$D$23</c:f>
              <c:strCache>
                <c:ptCount val="1"/>
                <c:pt idx="0">
                  <c:v>Dabur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Charts!$D$24:$D$28</c:f>
              <c:numCache>
                <c:formatCode>0.0%;\(0.0%\);\-</c:formatCode>
                <c:ptCount val="5"/>
                <c:pt idx="0">
                  <c:v>0.26249644583451803</c:v>
                </c:pt>
                <c:pt idx="1">
                  <c:v>0.23487908379774017</c:v>
                </c:pt>
                <c:pt idx="2">
                  <c:v>0.23229488258957806</c:v>
                </c:pt>
                <c:pt idx="3">
                  <c:v>0.21078282059092293</c:v>
                </c:pt>
                <c:pt idx="4">
                  <c:v>0.20976447497546613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1B-4D2F-8060-CDE959699CCE}"/>
            </c:ext>
          </c:extLst>
        </c:ser>
        <c:ser>
          <c:idx val="3"/>
          <c:order val="3"/>
          <c:tx>
            <c:strRef>
              <c:f>Charts!$E$23</c:f>
              <c:strCache>
                <c:ptCount val="1"/>
                <c:pt idx="0">
                  <c:v>Britannia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Charts!$E$24:$E$28</c:f>
              <c:numCache>
                <c:formatCode>0.0%;\(0.0%\);\-</c:formatCode>
                <c:ptCount val="5"/>
                <c:pt idx="0">
                  <c:v>0.41556012717411633</c:v>
                </c:pt>
                <c:pt idx="1">
                  <c:v>0.55350043215211753</c:v>
                </c:pt>
                <c:pt idx="2">
                  <c:v>0.49086703358060141</c:v>
                </c:pt>
                <c:pt idx="3">
                  <c:v>0.52821087087604446</c:v>
                </c:pt>
                <c:pt idx="4">
                  <c:v>0.56282570932252463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1B-4D2F-8060-CDE959699CCE}"/>
            </c:ext>
          </c:extLst>
        </c:ser>
        <c:ser>
          <c:idx val="4"/>
          <c:order val="4"/>
          <c:tx>
            <c:strRef>
              <c:f>Charts!$F$23</c:f>
              <c:strCache>
                <c:ptCount val="1"/>
                <c:pt idx="0">
                  <c:v>Marico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Charts!$A$24:$A$28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Charts!$F$24:$F$28</c:f>
              <c:numCache>
                <c:formatCode>0.0%;\(0.0%\);\-</c:formatCode>
                <c:ptCount val="5"/>
                <c:pt idx="0">
                  <c:v>0.43283188176299814</c:v>
                </c:pt>
                <c:pt idx="1">
                  <c:v>0.43696866650473648</c:v>
                </c:pt>
                <c:pt idx="2">
                  <c:v>0.45853769818638074</c:v>
                </c:pt>
                <c:pt idx="3">
                  <c:v>0.48801889976375296</c:v>
                </c:pt>
                <c:pt idx="4">
                  <c:v>0.50129087779690185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1B-4D2F-8060-CDE959699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361574"/>
        <c:axId val="94956295"/>
      </c:lineChart>
      <c:catAx>
        <c:axId val="24361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56295"/>
        <c:crosses val="autoZero"/>
        <c:auto val="1"/>
        <c:lblAlgn val="ctr"/>
        <c:lblOffset val="100"/>
        <c:noMultiLvlLbl val="0"/>
      </c:catAx>
      <c:valAx>
        <c:axId val="94956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361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Cash Conversion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Charts!$B$41</c:f>
              <c:strCache>
                <c:ptCount val="1"/>
                <c:pt idx="0">
                  <c:v>HUL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Charts!$B$42:$B$46</c:f>
              <c:numCache>
                <c:formatCode>0;\(0\);\-</c:formatCode>
                <c:ptCount val="5"/>
                <c:pt idx="0">
                  <c:v>-64</c:v>
                </c:pt>
                <c:pt idx="1">
                  <c:v>-49</c:v>
                </c:pt>
                <c:pt idx="2">
                  <c:v>-70</c:v>
                </c:pt>
                <c:pt idx="3">
                  <c:v>-72</c:v>
                </c:pt>
                <c:pt idx="4">
                  <c:v>-89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3-475A-B31D-E73339BE0865}"/>
            </c:ext>
          </c:extLst>
        </c:ser>
        <c:ser>
          <c:idx val="1"/>
          <c:order val="1"/>
          <c:tx>
            <c:strRef>
              <c:f>Charts!$C$41</c:f>
              <c:strCache>
                <c:ptCount val="1"/>
                <c:pt idx="0">
                  <c:v>ITC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Charts!$C$42:$C$46</c:f>
              <c:numCache>
                <c:formatCode>0;\(0\);\-</c:formatCode>
                <c:ptCount val="5"/>
                <c:pt idx="0">
                  <c:v>104</c:v>
                </c:pt>
                <c:pt idx="1">
                  <c:v>104</c:v>
                </c:pt>
                <c:pt idx="2">
                  <c:v>148</c:v>
                </c:pt>
                <c:pt idx="3">
                  <c:v>146</c:v>
                </c:pt>
                <c:pt idx="4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3-475A-B31D-E73339BE0865}"/>
            </c:ext>
          </c:extLst>
        </c:ser>
        <c:ser>
          <c:idx val="2"/>
          <c:order val="2"/>
          <c:tx>
            <c:strRef>
              <c:f>Charts!$D$41</c:f>
              <c:strCache>
                <c:ptCount val="1"/>
                <c:pt idx="0">
                  <c:v>Dabur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Charts!$D$42:$D$46</c:f>
              <c:numCache>
                <c:formatCode>0;\(0\);\-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-11</c:v>
                </c:pt>
                <c:pt idx="3">
                  <c:v>-14</c:v>
                </c:pt>
                <c:pt idx="4">
                  <c:v>-26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C3-475A-B31D-E73339BE0865}"/>
            </c:ext>
          </c:extLst>
        </c:ser>
        <c:ser>
          <c:idx val="3"/>
          <c:order val="3"/>
          <c:tx>
            <c:strRef>
              <c:f>Charts!$E$41</c:f>
              <c:strCache>
                <c:ptCount val="1"/>
                <c:pt idx="0">
                  <c:v>Britannia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Charts!$E$42:$E$46</c:f>
              <c:numCache>
                <c:formatCode>0;\(0\);\-</c:formatCode>
                <c:ptCount val="5"/>
                <c:pt idx="0">
                  <c:v>11</c:v>
                </c:pt>
                <c:pt idx="1">
                  <c:v>-3</c:v>
                </c:pt>
                <c:pt idx="2">
                  <c:v>-9</c:v>
                </c:pt>
                <c:pt idx="3">
                  <c:v>-8</c:v>
                </c:pt>
                <c:pt idx="4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C3-475A-B31D-E73339BE0865}"/>
            </c:ext>
          </c:extLst>
        </c:ser>
        <c:ser>
          <c:idx val="4"/>
          <c:order val="4"/>
          <c:tx>
            <c:strRef>
              <c:f>Charts!$F$41</c:f>
              <c:strCache>
                <c:ptCount val="1"/>
                <c:pt idx="0">
                  <c:v>Marico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Charts!$A$42:$A$46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Charts!$F$42:$F$46</c:f>
              <c:numCache>
                <c:formatCode>0;\(0\);\-</c:formatCode>
                <c:ptCount val="5"/>
                <c:pt idx="0">
                  <c:v>30</c:v>
                </c:pt>
                <c:pt idx="1">
                  <c:v>20</c:v>
                </c:pt>
                <c:pt idx="2">
                  <c:v>19</c:v>
                </c:pt>
                <c:pt idx="3">
                  <c:v>33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C3-475A-B31D-E73339BE0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12043"/>
        <c:axId val="6133990"/>
      </c:lineChart>
      <c:catAx>
        <c:axId val="9612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3990"/>
        <c:crosses val="autoZero"/>
        <c:auto val="1"/>
        <c:lblAlgn val="ctr"/>
        <c:lblOffset val="100"/>
        <c:noMultiLvlLbl val="0"/>
      </c:catAx>
      <c:valAx>
        <c:axId val="6133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12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CAGR FY21–FY26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Comparison!$B$5:$F$5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Comparison!$B$6:$F$6</c:f>
              <c:numCache>
                <c:formatCode>0.0%;\(0.0%\);\-</c:formatCode>
                <c:ptCount val="5"/>
                <c:pt idx="0">
                  <c:v>6.5117542409641516E-2</c:v>
                </c:pt>
                <c:pt idx="1">
                  <c:v>9.8718846334689747E-2</c:v>
                </c:pt>
                <c:pt idx="2">
                  <c:v>6.6495346028415225E-2</c:v>
                </c:pt>
                <c:pt idx="3">
                  <c:v>7.8326302554289962E-2</c:v>
                </c:pt>
                <c:pt idx="4">
                  <c:v>0.11081161763803493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D-487C-8127-AF283A92B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14452"/>
        <c:axId val="30855785"/>
      </c:barChart>
      <c:catAx>
        <c:axId val="67014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855785"/>
        <c:crosses val="autoZero"/>
        <c:auto val="1"/>
        <c:lblAlgn val="ctr"/>
        <c:lblOffset val="100"/>
        <c:noMultiLvlLbl val="0"/>
      </c:catAx>
      <c:valAx>
        <c:axId val="30855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14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Free Cash Flow Margin FY26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Comparison!$B$5:$F$5</c:f>
              <c:strCache>
                <c:ptCount val="5"/>
                <c:pt idx="0">
                  <c:v>HUL</c:v>
                </c:pt>
                <c:pt idx="1">
                  <c:v>ITC</c:v>
                </c:pt>
                <c:pt idx="2">
                  <c:v>Dabur</c:v>
                </c:pt>
                <c:pt idx="3">
                  <c:v>Britannia</c:v>
                </c:pt>
                <c:pt idx="4">
                  <c:v>Marico</c:v>
                </c:pt>
              </c:strCache>
            </c:strRef>
          </c:cat>
          <c:val>
            <c:numRef>
              <c:f>Comparison!$B$18:$F$18</c:f>
              <c:numCache>
                <c:formatCode>0.0%;\(0.0%\);\-</c:formatCode>
                <c:ptCount val="5"/>
                <c:pt idx="0">
                  <c:v>0.14995036297077619</c:v>
                </c:pt>
                <c:pt idx="1">
                  <c:v>0.20708018461226352</c:v>
                </c:pt>
                <c:pt idx="2">
                  <c:v>0.16523914196922609</c:v>
                </c:pt>
                <c:pt idx="3">
                  <c:v>0.12573099415204678</c:v>
                </c:pt>
                <c:pt idx="4">
                  <c:v>0.13018881786790096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0-4609-B41F-BADC322B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86905"/>
        <c:axId val="25591391"/>
      </c:barChart>
      <c:catAx>
        <c:axId val="429869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91391"/>
        <c:crosses val="autoZero"/>
        <c:auto val="1"/>
        <c:lblAlgn val="ctr"/>
        <c:lblOffset val="100"/>
        <c:noMultiLvlLbl val="0"/>
      </c:catAx>
      <c:valAx>
        <c:axId val="25591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869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12</xdr:col>
      <xdr:colOff>98280</xdr:colOff>
      <xdr:row>24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5</xdr:col>
      <xdr:colOff>98280</xdr:colOff>
      <xdr:row>33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5</xdr:col>
      <xdr:colOff>98280</xdr:colOff>
      <xdr:row>61</xdr:row>
      <xdr:rowOff>42840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12</xdr:col>
      <xdr:colOff>98280</xdr:colOff>
      <xdr:row>61</xdr:row>
      <xdr:rowOff>42840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15</xdr:col>
      <xdr:colOff>507600</xdr:colOff>
      <xdr:row>17</xdr:row>
      <xdr:rowOff>2880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</xdr:row>
      <xdr:rowOff>160920</xdr:rowOff>
    </xdr:from>
    <xdr:to>
      <xdr:col>24</xdr:col>
      <xdr:colOff>507600</xdr:colOff>
      <xdr:row>17</xdr:row>
      <xdr:rowOff>2880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15</xdr:col>
      <xdr:colOff>507600</xdr:colOff>
      <xdr:row>33</xdr:row>
      <xdr:rowOff>2880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18</xdr:row>
      <xdr:rowOff>160560</xdr:rowOff>
    </xdr:from>
    <xdr:to>
      <xdr:col>24</xdr:col>
      <xdr:colOff>507600</xdr:colOff>
      <xdr:row>33</xdr:row>
      <xdr:rowOff>2880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34</xdr:row>
      <xdr:rowOff>160560</xdr:rowOff>
    </xdr:from>
    <xdr:to>
      <xdr:col>15</xdr:col>
      <xdr:colOff>507600</xdr:colOff>
      <xdr:row>49</xdr:row>
      <xdr:rowOff>2880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34</xdr:row>
      <xdr:rowOff>160560</xdr:rowOff>
    </xdr:from>
    <xdr:to>
      <xdr:col>24</xdr:col>
      <xdr:colOff>507600</xdr:colOff>
      <xdr:row>49</xdr:row>
      <xdr:rowOff>2880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opLeftCell="A30" zoomScale="44" zoomScaleNormal="100" workbookViewId="0"/>
  </sheetViews>
  <sheetFormatPr defaultColWidth="8.6328125" defaultRowHeight="14.5" x14ac:dyDescent="0.35"/>
  <cols>
    <col min="1" max="1" width="140" customWidth="1"/>
  </cols>
  <sheetData>
    <row r="1" spans="1:1" ht="16.5" x14ac:dyDescent="0.35">
      <c r="A1" s="15" t="s">
        <v>0</v>
      </c>
    </row>
    <row r="2" spans="1:1" x14ac:dyDescent="0.35">
      <c r="A2" s="16"/>
    </row>
    <row r="3" spans="1:1" x14ac:dyDescent="0.35">
      <c r="A3" s="17" t="s">
        <v>1</v>
      </c>
    </row>
    <row r="4" spans="1:1" x14ac:dyDescent="0.35">
      <c r="A4" s="16" t="s">
        <v>2</v>
      </c>
    </row>
    <row r="5" spans="1:1" x14ac:dyDescent="0.35">
      <c r="A5" s="16"/>
    </row>
    <row r="6" spans="1:1" x14ac:dyDescent="0.35">
      <c r="A6" s="17" t="s">
        <v>3</v>
      </c>
    </row>
    <row r="7" spans="1:1" x14ac:dyDescent="0.35">
      <c r="A7" s="16" t="s">
        <v>4</v>
      </c>
    </row>
    <row r="8" spans="1:1" x14ac:dyDescent="0.35">
      <c r="A8" s="16" t="s">
        <v>5</v>
      </c>
    </row>
    <row r="9" spans="1:1" x14ac:dyDescent="0.35">
      <c r="A9" s="16" t="s">
        <v>6</v>
      </c>
    </row>
    <row r="10" spans="1:1" x14ac:dyDescent="0.35">
      <c r="A10" s="16" t="s">
        <v>7</v>
      </c>
    </row>
    <row r="11" spans="1:1" x14ac:dyDescent="0.35">
      <c r="A11" s="16" t="s">
        <v>8</v>
      </c>
    </row>
    <row r="12" spans="1:1" x14ac:dyDescent="0.35">
      <c r="A12" s="16"/>
    </row>
    <row r="13" spans="1:1" x14ac:dyDescent="0.35">
      <c r="A13" s="17" t="s">
        <v>9</v>
      </c>
    </row>
    <row r="14" spans="1:1" ht="28" x14ac:dyDescent="0.35">
      <c r="A14" s="16" t="s">
        <v>10</v>
      </c>
    </row>
    <row r="15" spans="1:1" x14ac:dyDescent="0.35">
      <c r="A15" s="16" t="s">
        <v>11</v>
      </c>
    </row>
    <row r="16" spans="1:1" x14ac:dyDescent="0.35">
      <c r="A16" s="16" t="s">
        <v>12</v>
      </c>
    </row>
    <row r="17" spans="1:1" x14ac:dyDescent="0.35">
      <c r="A17" s="16" t="s">
        <v>13</v>
      </c>
    </row>
    <row r="18" spans="1:1" x14ac:dyDescent="0.35">
      <c r="A18" s="16" t="s">
        <v>14</v>
      </c>
    </row>
    <row r="19" spans="1:1" x14ac:dyDescent="0.35">
      <c r="A19" s="16" t="s">
        <v>15</v>
      </c>
    </row>
    <row r="20" spans="1:1" x14ac:dyDescent="0.35">
      <c r="A20" s="16"/>
    </row>
    <row r="21" spans="1:1" x14ac:dyDescent="0.35">
      <c r="A21" s="17" t="s">
        <v>16</v>
      </c>
    </row>
    <row r="22" spans="1:1" ht="28" x14ac:dyDescent="0.35">
      <c r="A22" s="16" t="s">
        <v>17</v>
      </c>
    </row>
    <row r="23" spans="1:1" x14ac:dyDescent="0.35">
      <c r="A23" s="16"/>
    </row>
    <row r="24" spans="1:1" x14ac:dyDescent="0.35">
      <c r="A24" s="17" t="s">
        <v>18</v>
      </c>
    </row>
    <row r="25" spans="1:1" x14ac:dyDescent="0.35">
      <c r="A25" s="18" t="s">
        <v>19</v>
      </c>
    </row>
    <row r="26" spans="1:1" x14ac:dyDescent="0.35">
      <c r="A26" s="16" t="s">
        <v>20</v>
      </c>
    </row>
    <row r="27" spans="1:1" x14ac:dyDescent="0.35">
      <c r="A27" s="19" t="s">
        <v>21</v>
      </c>
    </row>
    <row r="28" spans="1:1" x14ac:dyDescent="0.35">
      <c r="A28" s="16"/>
    </row>
    <row r="29" spans="1:1" x14ac:dyDescent="0.35">
      <c r="A29" s="17" t="s">
        <v>22</v>
      </c>
    </row>
    <row r="30" spans="1:1" x14ac:dyDescent="0.35">
      <c r="A30" s="16" t="s">
        <v>23</v>
      </c>
    </row>
    <row r="31" spans="1:1" x14ac:dyDescent="0.35">
      <c r="A31" s="16" t="s">
        <v>24</v>
      </c>
    </row>
    <row r="32" spans="1:1" x14ac:dyDescent="0.35">
      <c r="A32" s="16" t="s">
        <v>25</v>
      </c>
    </row>
    <row r="33" spans="1:1" x14ac:dyDescent="0.35">
      <c r="A33" s="16" t="s">
        <v>26</v>
      </c>
    </row>
    <row r="34" spans="1:1" x14ac:dyDescent="0.35">
      <c r="A34" s="16" t="s">
        <v>27</v>
      </c>
    </row>
    <row r="35" spans="1:1" x14ac:dyDescent="0.35">
      <c r="A35" s="16"/>
    </row>
    <row r="36" spans="1:1" x14ac:dyDescent="0.35">
      <c r="A36" s="17" t="s">
        <v>28</v>
      </c>
    </row>
    <row r="37" spans="1:1" ht="28" x14ac:dyDescent="0.35">
      <c r="A37" s="16" t="s">
        <v>29</v>
      </c>
    </row>
    <row r="38" spans="1:1" ht="28" x14ac:dyDescent="0.35">
      <c r="A38" s="16" t="s">
        <v>30</v>
      </c>
    </row>
    <row r="39" spans="1:1" ht="28" x14ac:dyDescent="0.35">
      <c r="A39" s="16" t="s">
        <v>31</v>
      </c>
    </row>
    <row r="40" spans="1:1" ht="28" x14ac:dyDescent="0.35">
      <c r="A40" s="16" t="s">
        <v>32</v>
      </c>
    </row>
    <row r="41" spans="1:1" x14ac:dyDescent="0.35">
      <c r="A41" s="16"/>
    </row>
    <row r="42" spans="1:1" x14ac:dyDescent="0.35">
      <c r="A42" s="17" t="s">
        <v>33</v>
      </c>
    </row>
    <row r="43" spans="1:1" ht="28" x14ac:dyDescent="0.35">
      <c r="A43" s="16" t="s">
        <v>34</v>
      </c>
    </row>
    <row r="44" spans="1:1" x14ac:dyDescent="0.35">
      <c r="A44" s="16"/>
    </row>
    <row r="45" spans="1:1" x14ac:dyDescent="0.35">
      <c r="A45" s="17" t="s">
        <v>35</v>
      </c>
    </row>
    <row r="46" spans="1:1" x14ac:dyDescent="0.35">
      <c r="A46" s="16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46"/>
  <sheetViews>
    <sheetView showGridLines="0" tabSelected="1" zoomScaleNormal="100" workbookViewId="0">
      <pane ySplit="5" topLeftCell="A34" activePane="bottomLeft" state="frozen"/>
      <selection pane="bottomLeft" activeCell="F5" sqref="F5"/>
    </sheetView>
  </sheetViews>
  <sheetFormatPr defaultColWidth="8.6328125" defaultRowHeight="14.5" x14ac:dyDescent="0.35"/>
  <cols>
    <col min="1" max="1" width="2" customWidth="1"/>
    <col min="2" max="2" width="26" customWidth="1"/>
    <col min="3" max="13" width="13" customWidth="1"/>
    <col min="14" max="14" width="2" customWidth="1"/>
  </cols>
  <sheetData>
    <row r="2" spans="2:13" ht="33.75" customHeight="1" x14ac:dyDescent="0.35">
      <c r="B2" s="14" t="s">
        <v>37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2:13" x14ac:dyDescent="0.35">
      <c r="B3" s="13" t="s">
        <v>38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spans="2:13" ht="15.5" x14ac:dyDescent="0.35">
      <c r="B5" s="21" t="s">
        <v>39</v>
      </c>
      <c r="C5" s="22" t="s">
        <v>74</v>
      </c>
      <c r="E5" s="21" t="s">
        <v>41</v>
      </c>
      <c r="F5" s="22" t="s">
        <v>52</v>
      </c>
      <c r="H5" s="12" t="s">
        <v>43</v>
      </c>
      <c r="I5" s="12"/>
      <c r="J5" s="12"/>
      <c r="K5" s="12"/>
      <c r="L5" s="12"/>
      <c r="M5" s="12"/>
    </row>
    <row r="7" spans="2:13" x14ac:dyDescent="0.35">
      <c r="B7" s="11" t="s">
        <v>44</v>
      </c>
      <c r="C7" s="11"/>
      <c r="D7" s="11" t="s">
        <v>45</v>
      </c>
      <c r="E7" s="11"/>
      <c r="F7" s="11" t="s">
        <v>46</v>
      </c>
      <c r="G7" s="11"/>
      <c r="H7" s="11" t="s">
        <v>47</v>
      </c>
      <c r="I7" s="11"/>
      <c r="J7" s="11" t="s">
        <v>48</v>
      </c>
      <c r="K7" s="11"/>
      <c r="L7" s="11" t="s">
        <v>49</v>
      </c>
      <c r="M7" s="11"/>
    </row>
    <row r="8" spans="2:13" ht="30" customHeight="1" x14ac:dyDescent="0.35">
      <c r="B8" s="10">
        <f>INDEX(Calc!$C:$H,MATCH($C$5&amp;"|Sales",Calc!$A:$A,0),Calc!$K$1)</f>
        <v>9764</v>
      </c>
      <c r="C8" s="10"/>
      <c r="D8" s="10">
        <f>INDEX(Calc!$C:$H,MATCH($C$5&amp;"|NP",Calc!$A:$A,0),Calc!$K$1)</f>
        <v>1322</v>
      </c>
      <c r="E8" s="10"/>
      <c r="F8" s="9">
        <f>INDEX(Calc!$C:$H,MATCH($C$5&amp;"|roe",Calc!$A:$A,0),Calc!$K$1)</f>
        <v>0.36994543164964322</v>
      </c>
      <c r="G8" s="9"/>
      <c r="H8" s="9">
        <f>INDEX(Calc!$C:$H,MATCH($C$5&amp;"|opm",Calc!$A:$A,0),Calc!$K$1)</f>
        <v>0.18537484637443671</v>
      </c>
      <c r="I8" s="9"/>
      <c r="J8" s="8">
        <f>INDEX(Calc!$C:$H,MATCH($C$5&amp;"|ccc",Calc!$A:$A,0),Calc!$K$1)</f>
        <v>20</v>
      </c>
      <c r="K8" s="8"/>
      <c r="L8" s="7">
        <f>INDEX(Calc!$C:$H,MATCH($C$5&amp;"|de",Calc!$A:$A,0),Calc!$K$1)</f>
        <v>0.16004211634640694</v>
      </c>
      <c r="M8" s="7"/>
    </row>
    <row r="9" spans="2:13" x14ac:dyDescent="0.35">
      <c r="B9" s="6" t="str">
        <f>IFERROR(IF(INDEX(Calc!$C:$H,MATCH($C$5&amp;"|Sales",Calc!$A:$A,0),Calc!$K$1)/INDEX(Calc!$C:$H,MATCH($C$5&amp;"|Sales",Calc!$A:$A,0),Calc!$K$1-1)-1&gt;=0,"▲ ","▼ ")&amp;TEXT(ABS(INDEX(Calc!$C:$H,MATCH($C$5&amp;"|Sales",Calc!$A:$A,0),Calc!$K$1)/INDEX(Calc!$C:$H,MATCH($C$5&amp;"|Sales",Calc!$A:$A,0),Calc!$K$1-1)-1),"0.0%")&amp;" vs "&amp;INDEX(Calc!$C$1:$H$1,Calc!$K$1-1),"no prior year")</f>
        <v>▲ 2.6% vs FY22</v>
      </c>
      <c r="C9" s="6"/>
      <c r="D9" s="6" t="str">
        <f>IFERROR(IF(INDEX(Calc!$C:$H,MATCH($C$5&amp;"|NP",Calc!$A:$A,0),Calc!$K$1)/INDEX(Calc!$C:$H,MATCH($C$5&amp;"|NP",Calc!$A:$A,0),Calc!$K$1-1)-1&gt;=0,"▲ ","▼ ")&amp;TEXT(ABS(INDEX(Calc!$C:$H,MATCH($C$5&amp;"|NP",Calc!$A:$A,0),Calc!$K$1)/INDEX(Calc!$C:$H,MATCH($C$5&amp;"|NP",Calc!$A:$A,0),Calc!$K$1-1)-1),"0.0%")&amp;" vs "&amp;INDEX(Calc!$C$1:$H$1,Calc!$K$1-1),"no prior year")</f>
        <v>▲ 5.3% vs FY22</v>
      </c>
      <c r="E9" s="6"/>
      <c r="F9" s="6" t="str">
        <f>IFERROR(IF(INDEX(Calc!$C:$H,MATCH($C$5&amp;"|roe",Calc!$A:$A,0),Calc!$K$1)-INDEX(Calc!$C:$H,MATCH($C$5&amp;"|roe",Calc!$A:$A,0),Calc!$K$1-1)&gt;=0,"▲ ","▼ ")&amp;TEXT(ABS(INDEX(Calc!$C:$H,MATCH($C$5&amp;"|roe",Calc!$A:$A,0),Calc!$K$1)-INDEX(Calc!$C:$H,MATCH($C$5&amp;"|roe",Calc!$A:$A,0),Calc!$K$1-1))*100,"0.0")&amp;" pp"&amp;" vs "&amp;INDEX(Calc!$C$1:$H$1,Calc!$K$1-1),"no prior year")</f>
        <v>▼ 1.1 pp vs FY22</v>
      </c>
      <c r="G9" s="6"/>
      <c r="H9" s="6" t="str">
        <f>IFERROR(IF(INDEX(Calc!$C:$H,MATCH($C$5&amp;"|opm",Calc!$A:$A,0),Calc!$K$1)-INDEX(Calc!$C:$H,MATCH($C$5&amp;"|opm",Calc!$A:$A,0),Calc!$K$1-1)&gt;=0,"▲ ","▼ ")&amp;TEXT(ABS(INDEX(Calc!$C:$H,MATCH($C$5&amp;"|opm",Calc!$A:$A,0),Calc!$K$1)-INDEX(Calc!$C:$H,MATCH($C$5&amp;"|opm",Calc!$A:$A,0),Calc!$K$1-1))*100,"0.0")&amp;" pp"&amp;" vs "&amp;INDEX(Calc!$C$1:$H$1,Calc!$K$1-1),"no prior year")</f>
        <v>▲ 0.9 pp vs FY22</v>
      </c>
      <c r="I9" s="6"/>
      <c r="J9" s="6" t="str">
        <f>IFERROR(IF(INDEX(Calc!$C:$H,MATCH($C$5&amp;"|ccc",Calc!$A:$A,0),Calc!$K$1)-INDEX(Calc!$C:$H,MATCH($C$5&amp;"|ccc",Calc!$A:$A,0),Calc!$K$1-1)&gt;=0,"▲ ","▼ ")&amp;TEXT(ABS(INDEX(Calc!$C:$H,MATCH($C$5&amp;"|ccc",Calc!$A:$A,0),Calc!$K$1)-INDEX(Calc!$C:$H,MATCH($C$5&amp;"|ccc",Calc!$A:$A,0),Calc!$K$1-1)),"0")&amp;" days"&amp;" vs "&amp;INDEX(Calc!$C$1:$H$1,Calc!$K$1-1),"no prior year")</f>
        <v>▼ 10 days vs FY22</v>
      </c>
      <c r="K9" s="6"/>
      <c r="L9" s="6" t="str">
        <f>IFERROR(IF(INDEX(Calc!$C:$H,MATCH($C$5&amp;"|de",Calc!$A:$A,0),Calc!$K$1)-INDEX(Calc!$C:$H,MATCH($C$5&amp;"|de",Calc!$A:$A,0),Calc!$K$1-1)&gt;=0,"▲ ","▼ ")&amp;TEXT(ABS(INDEX(Calc!$C:$H,MATCH($C$5&amp;"|de",Calc!$A:$A,0),Calc!$K$1)-INDEX(Calc!$C:$H,MATCH($C$5&amp;"|de",Calc!$A:$A,0),Calc!$K$1-1)),"0.00")&amp;"x"&amp;" vs "&amp;INDEX(Calc!$C$1:$H$1,Calc!$K$1-1),"no prior year")</f>
        <v>▲ 0.02x vs FY22</v>
      </c>
      <c r="M9" s="6"/>
    </row>
    <row r="11" spans="2:13" ht="15.5" x14ac:dyDescent="0.35">
      <c r="B11" s="5" t="str">
        <f>"5-Year Trend: "&amp;$C$5</f>
        <v>5-Year Trend: Marico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2:13" x14ac:dyDescent="0.35">
      <c r="B12" s="23" t="s">
        <v>50</v>
      </c>
      <c r="C12" s="24" t="s">
        <v>51</v>
      </c>
      <c r="D12" s="24" t="s">
        <v>52</v>
      </c>
      <c r="E12" s="24" t="s">
        <v>53</v>
      </c>
      <c r="F12" s="24" t="s">
        <v>54</v>
      </c>
      <c r="G12" s="24" t="s">
        <v>42</v>
      </c>
    </row>
    <row r="13" spans="2:13" x14ac:dyDescent="0.35">
      <c r="B13" s="25" t="s">
        <v>55</v>
      </c>
      <c r="C13" s="26">
        <f>INDEX(Calc!$C:$H,MATCH($C$5&amp;"|Sales",Calc!$A:$A,0),2)</f>
        <v>9512</v>
      </c>
      <c r="D13" s="26">
        <f>INDEX(Calc!$C:$H,MATCH($C$5&amp;"|Sales",Calc!$A:$A,0),3)</f>
        <v>9764</v>
      </c>
      <c r="E13" s="26">
        <f>INDEX(Calc!$C:$H,MATCH($C$5&amp;"|Sales",Calc!$A:$A,0),4)</f>
        <v>9653</v>
      </c>
      <c r="F13" s="26">
        <f>INDEX(Calc!$C:$H,MATCH($C$5&amp;"|Sales",Calc!$A:$A,0),5)</f>
        <v>10831</v>
      </c>
      <c r="G13" s="26">
        <f>INDEX(Calc!$C:$H,MATCH($C$5&amp;"|Sales",Calc!$A:$A,0),6)</f>
        <v>13611</v>
      </c>
    </row>
    <row r="14" spans="2:13" x14ac:dyDescent="0.35">
      <c r="B14" s="27" t="s">
        <v>56</v>
      </c>
      <c r="C14" s="28">
        <f>INDEX(Calc!$C:$H,MATCH($C$5&amp;"|NP",Calc!$A:$A,0),2)</f>
        <v>1255</v>
      </c>
      <c r="D14" s="28">
        <f>INDEX(Calc!$C:$H,MATCH($C$5&amp;"|NP",Calc!$A:$A,0),3)</f>
        <v>1322</v>
      </c>
      <c r="E14" s="28">
        <f>INDEX(Calc!$C:$H,MATCH($C$5&amp;"|NP",Calc!$A:$A,0),4)</f>
        <v>1502</v>
      </c>
      <c r="F14" s="28">
        <f>INDEX(Calc!$C:$H,MATCH($C$5&amp;"|NP",Calc!$A:$A,0),5)</f>
        <v>1658</v>
      </c>
      <c r="G14" s="28">
        <f>INDEX(Calc!$C:$H,MATCH($C$5&amp;"|NP",Calc!$A:$A,0),6)</f>
        <v>1813</v>
      </c>
    </row>
    <row r="15" spans="2:13" x14ac:dyDescent="0.35">
      <c r="B15" s="25" t="s">
        <v>47</v>
      </c>
      <c r="C15" s="29">
        <f>INDEX(Calc!$C:$H,MATCH($C$5&amp;"|opm",Calc!$A:$A,0),2)</f>
        <v>0.17672413793103448</v>
      </c>
      <c r="D15" s="29">
        <f>INDEX(Calc!$C:$H,MATCH($C$5&amp;"|opm",Calc!$A:$A,0),3)</f>
        <v>0.18537484637443671</v>
      </c>
      <c r="E15" s="29">
        <f>INDEX(Calc!$C:$H,MATCH($C$5&amp;"|opm",Calc!$A:$A,0),4)</f>
        <v>0.20988293794675231</v>
      </c>
      <c r="F15" s="29">
        <f>INDEX(Calc!$C:$H,MATCH($C$5&amp;"|opm",Calc!$A:$A,0),5)</f>
        <v>0.19748868987166468</v>
      </c>
      <c r="G15" s="29">
        <f>INDEX(Calc!$C:$H,MATCH($C$5&amp;"|opm",Calc!$A:$A,0),6)</f>
        <v>0.17103813092351774</v>
      </c>
    </row>
    <row r="16" spans="2:13" x14ac:dyDescent="0.35">
      <c r="B16" s="27" t="s">
        <v>46</v>
      </c>
      <c r="C16" s="30">
        <f>INDEX(Calc!$C:$H,MATCH($C$5&amp;"|roe",Calc!$A:$A,0),2)</f>
        <v>0.38099574984820889</v>
      </c>
      <c r="D16" s="30">
        <f>INDEX(Calc!$C:$H,MATCH($C$5&amp;"|roe",Calc!$A:$A,0),3)</f>
        <v>0.36994543164964322</v>
      </c>
      <c r="E16" s="30">
        <f>INDEX(Calc!$C:$H,MATCH($C$5&amp;"|roe",Calc!$A:$A,0),4)</f>
        <v>0.39365744987550777</v>
      </c>
      <c r="F16" s="30">
        <f>INDEX(Calc!$C:$H,MATCH($C$5&amp;"|roe",Calc!$A:$A,0),5)</f>
        <v>0.42474702190342001</v>
      </c>
      <c r="G16" s="30">
        <f>INDEX(Calc!$C:$H,MATCH($C$5&amp;"|roe",Calc!$A:$A,0),6)</f>
        <v>0.4430054978619426</v>
      </c>
    </row>
    <row r="17" spans="2:13" x14ac:dyDescent="0.35">
      <c r="B17" s="25" t="s">
        <v>57</v>
      </c>
      <c r="C17" s="29">
        <f>INDEX(Calc!$C:$H,MATCH($C$5&amp;"|roce",Calc!$A:$A,0),2)</f>
        <v>0.43283188176299814</v>
      </c>
      <c r="D17" s="29">
        <f>INDEX(Calc!$C:$H,MATCH($C$5&amp;"|roce",Calc!$A:$A,0),3)</f>
        <v>0.43696866650473648</v>
      </c>
      <c r="E17" s="29">
        <f>INDEX(Calc!$C:$H,MATCH($C$5&amp;"|roce",Calc!$A:$A,0),4)</f>
        <v>0.45853769818638074</v>
      </c>
      <c r="F17" s="29">
        <f>INDEX(Calc!$C:$H,MATCH($C$5&amp;"|roce",Calc!$A:$A,0),5)</f>
        <v>0.48801889976375296</v>
      </c>
      <c r="G17" s="29">
        <f>INDEX(Calc!$C:$H,MATCH($C$5&amp;"|roce",Calc!$A:$A,0),6)</f>
        <v>0.50129087779690185</v>
      </c>
    </row>
    <row r="18" spans="2:13" x14ac:dyDescent="0.35">
      <c r="B18" s="27" t="s">
        <v>58</v>
      </c>
      <c r="C18" s="31">
        <f>INDEX(Calc!$C:$H,MATCH($C$5&amp;"|ccc",Calc!$A:$A,0),2)</f>
        <v>30</v>
      </c>
      <c r="D18" s="31">
        <f>INDEX(Calc!$C:$H,MATCH($C$5&amp;"|ccc",Calc!$A:$A,0),3)</f>
        <v>20</v>
      </c>
      <c r="E18" s="31">
        <f>INDEX(Calc!$C:$H,MATCH($C$5&amp;"|ccc",Calc!$A:$A,0),4)</f>
        <v>19</v>
      </c>
      <c r="F18" s="31">
        <f>INDEX(Calc!$C:$H,MATCH($C$5&amp;"|ccc",Calc!$A:$A,0),5)</f>
        <v>33</v>
      </c>
      <c r="G18" s="31">
        <f>INDEX(Calc!$C:$H,MATCH($C$5&amp;"|ccc",Calc!$A:$A,0),6)</f>
        <v>12</v>
      </c>
    </row>
    <row r="19" spans="2:13" x14ac:dyDescent="0.35">
      <c r="B19" s="25" t="s">
        <v>59</v>
      </c>
      <c r="C19" s="32">
        <f>INDEX(Calc!$C:$H,MATCH($C$5&amp;"|g_sales",Calc!$A:$A,0),2)</f>
        <v>0.18190854870775341</v>
      </c>
      <c r="D19" s="32">
        <f>INDEX(Calc!$C:$H,MATCH($C$5&amp;"|g_sales",Calc!$A:$A,0),3)</f>
        <v>2.6492851135407891E-2</v>
      </c>
      <c r="E19" s="32">
        <f>INDEX(Calc!$C:$H,MATCH($C$5&amp;"|g_sales",Calc!$A:$A,0),4)</f>
        <v>-1.1368291683736209E-2</v>
      </c>
      <c r="F19" s="32">
        <f>INDEX(Calc!$C:$H,MATCH($C$5&amp;"|g_sales",Calc!$A:$A,0),5)</f>
        <v>0.12203460064228744</v>
      </c>
      <c r="G19" s="32">
        <f>INDEX(Calc!$C:$H,MATCH($C$5&amp;"|g_sales",Calc!$A:$A,0),6)</f>
        <v>0.25667066752839074</v>
      </c>
    </row>
    <row r="27" spans="2:13" ht="15.5" x14ac:dyDescent="0.35">
      <c r="H27" s="5" t="str">
        <f>"DuPont Breakdown of ROE: "&amp;$C$5&amp;", "&amp;$F$5</f>
        <v>DuPont Breakdown of ROE: Marico, FY23</v>
      </c>
      <c r="I27" s="5"/>
      <c r="J27" s="5"/>
      <c r="K27" s="5"/>
      <c r="L27" s="5"/>
      <c r="M27" s="5"/>
    </row>
    <row r="28" spans="2:13" x14ac:dyDescent="0.35">
      <c r="H28" s="4" t="s">
        <v>60</v>
      </c>
      <c r="I28" s="4"/>
      <c r="J28" s="33">
        <f>IFERROR(INDEX(Calc!$C:$H,MATCH($C$5&amp;"|dp_npm",Calc!$A:$A,0),Calc!$K$1),"n/a")</f>
        <v>0.13539532978287588</v>
      </c>
      <c r="K28" s="13" t="s">
        <v>61</v>
      </c>
      <c r="L28" s="13"/>
      <c r="M28" s="13"/>
    </row>
    <row r="29" spans="2:13" x14ac:dyDescent="0.35">
      <c r="H29" s="4" t="s">
        <v>62</v>
      </c>
      <c r="I29" s="4"/>
      <c r="J29" s="34">
        <f>IFERROR(INDEX(Calc!$C:$H,MATCH($C$5&amp;"|dp_at",Calc!$A:$A,0),Calc!$K$1),"n/a")</f>
        <v>1.5651198204696641</v>
      </c>
      <c r="K29" s="13" t="s">
        <v>63</v>
      </c>
      <c r="L29" s="13"/>
      <c r="M29" s="13"/>
    </row>
    <row r="30" spans="2:13" x14ac:dyDescent="0.35">
      <c r="H30" s="4" t="s">
        <v>64</v>
      </c>
      <c r="I30" s="4"/>
      <c r="J30" s="34">
        <f>IFERROR(INDEX(Calc!$C:$H,MATCH($C$5&amp;"|dp_em",Calc!$A:$A,0),Calc!$K$1),"n/a")</f>
        <v>1.7457674548761719</v>
      </c>
      <c r="K30" s="13" t="s">
        <v>65</v>
      </c>
      <c r="L30" s="13"/>
      <c r="M30" s="13"/>
    </row>
    <row r="31" spans="2:13" x14ac:dyDescent="0.35">
      <c r="H31" s="3" t="s">
        <v>46</v>
      </c>
      <c r="I31" s="3"/>
      <c r="J31" s="35">
        <f>IFERROR(INDEX(Calc!$C:$H,MATCH($C$5&amp;"|dp_roe",Calc!$A:$A,0),Calc!$K$1),"n/a")</f>
        <v>0.36994543164964327</v>
      </c>
      <c r="K31" s="2" t="s">
        <v>66</v>
      </c>
      <c r="L31" s="2"/>
      <c r="M31" s="2"/>
    </row>
    <row r="33" spans="2:13" x14ac:dyDescent="0.35">
      <c r="H33" s="1" t="str">
        <f>IFERROR(IF(INDEX(Calc!$C:$H,MATCH($C$5&amp;"|dp_at",Calc!$A:$A,0),Calc!$K$1)&gt;1.2,$C$5&amp;" earns its ROE mainly through fast asset turnover: it generates more sales from each rupee of assets than most peers.",IF(INDEX(Calc!$C:$H,MATCH($C$5&amp;"|dp_npm",Calc!$A:$A,0),Calc!$K$1)&gt;=0.16,$C$5&amp;" earns its ROE mainly through high profit margins, on a slower-turning asset base.",$C$5&amp;" has modest margins and asset turnover, which keeps its ROE below peers.")),"")</f>
        <v>Marico earns its ROE mainly through fast asset turnover: it generates more sales from each rupee of assets than most peers.</v>
      </c>
      <c r="I33" s="1"/>
      <c r="J33" s="1"/>
      <c r="K33" s="1"/>
      <c r="L33" s="1"/>
      <c r="M33" s="1"/>
    </row>
    <row r="34" spans="2:13" x14ac:dyDescent="0.35">
      <c r="H34" s="1"/>
      <c r="I34" s="1"/>
      <c r="J34" s="1"/>
      <c r="K34" s="1"/>
      <c r="L34" s="1"/>
      <c r="M34" s="1"/>
    </row>
    <row r="35" spans="2:13" x14ac:dyDescent="0.35">
      <c r="H35" s="1"/>
      <c r="I35" s="1"/>
      <c r="J35" s="1"/>
      <c r="K35" s="1"/>
      <c r="L35" s="1"/>
      <c r="M35" s="1"/>
    </row>
    <row r="38" spans="2:13" ht="15.5" x14ac:dyDescent="0.35">
      <c r="B38" s="5" t="str">
        <f>"Peer Comparison: "&amp;$F$5</f>
        <v>Peer Comparison: FY23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2:13" ht="27.75" customHeight="1" x14ac:dyDescent="0.35">
      <c r="B39" s="36" t="s">
        <v>39</v>
      </c>
      <c r="C39" s="37" t="s">
        <v>55</v>
      </c>
      <c r="D39" s="37" t="s">
        <v>59</v>
      </c>
      <c r="E39" s="37" t="s">
        <v>47</v>
      </c>
      <c r="F39" s="37" t="s">
        <v>67</v>
      </c>
      <c r="G39" s="37" t="s">
        <v>46</v>
      </c>
      <c r="H39" s="37" t="s">
        <v>57</v>
      </c>
      <c r="I39" s="37" t="s">
        <v>68</v>
      </c>
      <c r="J39" s="37" t="s">
        <v>69</v>
      </c>
      <c r="K39" s="37" t="s">
        <v>49</v>
      </c>
      <c r="L39" s="37" t="s">
        <v>70</v>
      </c>
    </row>
    <row r="40" spans="2:13" x14ac:dyDescent="0.35">
      <c r="B40" s="38" t="s">
        <v>71</v>
      </c>
      <c r="C40" s="39">
        <f>INDEX(Calc!$C:$H,MATCH($B40&amp;"|Sales",Calc!$A:$A,0),Calc!$K$1)</f>
        <v>60580</v>
      </c>
      <c r="D40" s="40">
        <f>INDEX(Calc!$C:$H,MATCH($B40&amp;"|g_sales",Calc!$A:$A,0),Calc!$K$1)</f>
        <v>0.15509285741524614</v>
      </c>
      <c r="E40" s="41">
        <f>INDEX(Calc!$C:$H,MATCH($B40&amp;"|opm",Calc!$A:$A,0),Calc!$K$1)</f>
        <v>0.23352591614394189</v>
      </c>
      <c r="F40" s="41">
        <f>INDEX(Calc!$C:$H,MATCH($B40&amp;"|npm",Calc!$A:$A,0),Calc!$K$1)</f>
        <v>0.16743149554308354</v>
      </c>
      <c r="G40" s="41">
        <f>INDEX(Calc!$C:$H,MATCH($B40&amp;"|roe",Calc!$A:$A,0),Calc!$K$1)</f>
        <v>0.20415639309616063</v>
      </c>
      <c r="H40" s="41">
        <f>INDEX(Calc!$C:$H,MATCH($B40&amp;"|roce",Calc!$A:$A,0),Calc!$K$1)</f>
        <v>0.26485087624351794</v>
      </c>
      <c r="I40" s="42">
        <f>INDEX(Calc!$C:$H,MATCH($B40&amp;"|at",Calc!$A:$A,0),Calc!$K$1)</f>
        <v>0.84383248713287784</v>
      </c>
      <c r="J40" s="43">
        <f>INDEX(Calc!$C:$H,MATCH($B40&amp;"|ccc",Calc!$A:$A,0),Calc!$K$1)</f>
        <v>-49</v>
      </c>
      <c r="K40" s="42">
        <f>INDEX(Calc!$C:$H,MATCH($B40&amp;"|de",Calc!$A:$A,0),Calc!$K$1)</f>
        <v>2.4232665394402036E-2</v>
      </c>
      <c r="L40" s="41">
        <f>INDEX(Calc!$C:$H,MATCH($B40&amp;"|fcfm",Calc!$A:$A,0),Calc!$K$1)</f>
        <v>0.14823374050841862</v>
      </c>
    </row>
    <row r="41" spans="2:13" x14ac:dyDescent="0.35">
      <c r="B41" s="38" t="s">
        <v>72</v>
      </c>
      <c r="C41" s="39">
        <f>INDEX(Calc!$C:$H,MATCH($B41&amp;"|Sales",Calc!$A:$A,0),Calc!$K$1)</f>
        <v>70919</v>
      </c>
      <c r="D41" s="40">
        <f>INDEX(Calc!$C:$H,MATCH($B41&amp;"|g_sales",Calc!$A:$A,0),Calc!$K$1)</f>
        <v>0.16941215269189547</v>
      </c>
      <c r="E41" s="41">
        <f>INDEX(Calc!$C:$H,MATCH($B41&amp;"|opm",Calc!$A:$A,0),Calc!$K$1)</f>
        <v>0.36244165879383522</v>
      </c>
      <c r="F41" s="41">
        <f>INDEX(Calc!$C:$H,MATCH($B41&amp;"|npm",Calc!$A:$A,0),Calc!$K$1)</f>
        <v>0.27463726222873985</v>
      </c>
      <c r="G41" s="41">
        <f>INDEX(Calc!$C:$H,MATCH($B41&amp;"|roe",Calc!$A:$A,0),Calc!$K$1)</f>
        <v>0.29598054859053263</v>
      </c>
      <c r="H41" s="41">
        <f>INDEX(Calc!$C:$H,MATCH($B41&amp;"|roce",Calc!$A:$A,0),Calc!$K$1)</f>
        <v>0.3933416562630046</v>
      </c>
      <c r="I41" s="42">
        <f>INDEX(Calc!$C:$H,MATCH($B41&amp;"|at",Calc!$A:$A,0),Calc!$K$1)</f>
        <v>0.8700276641292547</v>
      </c>
      <c r="J41" s="43">
        <f>INDEX(Calc!$C:$H,MATCH($B41&amp;"|ccc",Calc!$A:$A,0),Calc!$K$1)</f>
        <v>104</v>
      </c>
      <c r="K41" s="42">
        <f>INDEX(Calc!$C:$H,MATCH($B41&amp;"|de",Calc!$A:$A,0),Calc!$K$1)</f>
        <v>4.4248427445593231E-3</v>
      </c>
      <c r="L41" s="41">
        <f>INDEX(Calc!$C:$H,MATCH($B41&amp;"|fcfm",Calc!$A:$A,0),Calc!$K$1)</f>
        <v>0.22820400738871108</v>
      </c>
    </row>
    <row r="42" spans="2:13" x14ac:dyDescent="0.35">
      <c r="B42" s="38" t="s">
        <v>73</v>
      </c>
      <c r="C42" s="39">
        <f>INDEX(Calc!$C:$H,MATCH($B42&amp;"|Sales",Calc!$A:$A,0),Calc!$K$1)</f>
        <v>11530</v>
      </c>
      <c r="D42" s="40">
        <f>INDEX(Calc!$C:$H,MATCH($B42&amp;"|g_sales",Calc!$A:$A,0),Calc!$K$1)</f>
        <v>5.8866746257691283E-2</v>
      </c>
      <c r="E42" s="41">
        <f>INDEX(Calc!$C:$H,MATCH($B42&amp;"|opm",Calc!$A:$A,0),Calc!$K$1)</f>
        <v>0.18751084128360798</v>
      </c>
      <c r="F42" s="41">
        <f>INDEX(Calc!$C:$H,MATCH($B42&amp;"|npm",Calc!$A:$A,0),Calc!$K$1)</f>
        <v>0.14752818733738074</v>
      </c>
      <c r="G42" s="41">
        <f>INDEX(Calc!$C:$H,MATCH($B42&amp;"|roe",Calc!$A:$A,0),Calc!$K$1)</f>
        <v>0.19602420051858255</v>
      </c>
      <c r="H42" s="41">
        <f>INDEX(Calc!$C:$H,MATCH($B42&amp;"|roce",Calc!$A:$A,0),Calc!$K$1)</f>
        <v>0.23487908379774017</v>
      </c>
      <c r="I42" s="42">
        <f>INDEX(Calc!$C:$H,MATCH($B42&amp;"|at",Calc!$A:$A,0),Calc!$K$1)</f>
        <v>0.88907737980491186</v>
      </c>
      <c r="J42" s="43">
        <f>INDEX(Calc!$C:$H,MATCH($B42&amp;"|ccc",Calc!$A:$A,0),Calc!$K$1)</f>
        <v>14</v>
      </c>
      <c r="K42" s="42">
        <f>INDEX(Calc!$C:$H,MATCH($B42&amp;"|de",Calc!$A:$A,0),Calc!$K$1)</f>
        <v>0.13083695531037556</v>
      </c>
      <c r="L42" s="41">
        <f>INDEX(Calc!$C:$H,MATCH($B42&amp;"|fcfm",Calc!$A:$A,0),Calc!$K$1)</f>
        <v>8.6990459670424972E-2</v>
      </c>
    </row>
    <row r="43" spans="2:13" x14ac:dyDescent="0.35">
      <c r="B43" s="38" t="s">
        <v>40</v>
      </c>
      <c r="C43" s="39">
        <f>INDEX(Calc!$C:$H,MATCH($B43&amp;"|Sales",Calc!$A:$A,0),Calc!$K$1)</f>
        <v>16301</v>
      </c>
      <c r="D43" s="40">
        <f>INDEX(Calc!$C:$H,MATCH($B43&amp;"|g_sales",Calc!$A:$A,0),Calc!$K$1)</f>
        <v>0.15315506508205989</v>
      </c>
      <c r="E43" s="41">
        <f>INDEX(Calc!$C:$H,MATCH($B43&amp;"|opm",Calc!$A:$A,0),Calc!$K$1)</f>
        <v>0.1736703269738053</v>
      </c>
      <c r="F43" s="41">
        <f>INDEX(Calc!$C:$H,MATCH($B43&amp;"|npm",Calc!$A:$A,0),Calc!$K$1)</f>
        <v>0.14207717317955953</v>
      </c>
      <c r="G43" s="41">
        <f>INDEX(Calc!$C:$H,MATCH($B43&amp;"|roe",Calc!$A:$A,0),Calc!$K$1)</f>
        <v>0.76034143138542354</v>
      </c>
      <c r="H43" s="41">
        <f>INDEX(Calc!$C:$H,MATCH($B43&amp;"|roce",Calc!$A:$A,0),Calc!$K$1)</f>
        <v>0.55350043215211753</v>
      </c>
      <c r="I43" s="42">
        <f>INDEX(Calc!$C:$H,MATCH($B43&amp;"|at",Calc!$A:$A,0),Calc!$K$1)</f>
        <v>1.9318558900213321</v>
      </c>
      <c r="J43" s="43">
        <f>INDEX(Calc!$C:$H,MATCH($B43&amp;"|ccc",Calc!$A:$A,0),Calc!$K$1)</f>
        <v>-3</v>
      </c>
      <c r="K43" s="42">
        <f>INDEX(Calc!$C:$H,MATCH($B43&amp;"|de",Calc!$A:$A,0),Calc!$K$1)</f>
        <v>0.84804753820033951</v>
      </c>
      <c r="L43" s="41">
        <f>INDEX(Calc!$C:$H,MATCH($B43&amp;"|fcfm",Calc!$A:$A,0),Calc!$K$1)</f>
        <v>0.11612784491748973</v>
      </c>
    </row>
    <row r="44" spans="2:13" x14ac:dyDescent="0.35">
      <c r="B44" s="38" t="s">
        <v>74</v>
      </c>
      <c r="C44" s="39">
        <f>INDEX(Calc!$C:$H,MATCH($B44&amp;"|Sales",Calc!$A:$A,0),Calc!$K$1)</f>
        <v>9764</v>
      </c>
      <c r="D44" s="40">
        <f>INDEX(Calc!$C:$H,MATCH($B44&amp;"|g_sales",Calc!$A:$A,0),Calc!$K$1)</f>
        <v>2.6492851135407891E-2</v>
      </c>
      <c r="E44" s="41">
        <f>INDEX(Calc!$C:$H,MATCH($B44&amp;"|opm",Calc!$A:$A,0),Calc!$K$1)</f>
        <v>0.18537484637443671</v>
      </c>
      <c r="F44" s="41">
        <f>INDEX(Calc!$C:$H,MATCH($B44&amp;"|npm",Calc!$A:$A,0),Calc!$K$1)</f>
        <v>0.13539532978287588</v>
      </c>
      <c r="G44" s="41">
        <f>INDEX(Calc!$C:$H,MATCH($B44&amp;"|roe",Calc!$A:$A,0),Calc!$K$1)</f>
        <v>0.36994543164964322</v>
      </c>
      <c r="H44" s="41">
        <f>INDEX(Calc!$C:$H,MATCH($B44&amp;"|roce",Calc!$A:$A,0),Calc!$K$1)</f>
        <v>0.43696866650473648</v>
      </c>
      <c r="I44" s="42">
        <f>INDEX(Calc!$C:$H,MATCH($B44&amp;"|at",Calc!$A:$A,0),Calc!$K$1)</f>
        <v>1.5651198204696641</v>
      </c>
      <c r="J44" s="43">
        <f>INDEX(Calc!$C:$H,MATCH($B44&amp;"|ccc",Calc!$A:$A,0),Calc!$K$1)</f>
        <v>20</v>
      </c>
      <c r="K44" s="42">
        <f>INDEX(Calc!$C:$H,MATCH($B44&amp;"|de",Calc!$A:$A,0),Calc!$K$1)</f>
        <v>0.16004211634640694</v>
      </c>
      <c r="L44" s="41">
        <f>INDEX(Calc!$C:$H,MATCH($B44&amp;"|fcfm",Calc!$A:$A,0),Calc!$K$1)</f>
        <v>0.12668988119623106</v>
      </c>
    </row>
    <row r="45" spans="2:13" x14ac:dyDescent="0.35">
      <c r="B45" s="44" t="str">
        <f>"Rank of "&amp;$C$5&amp;" (1 = best)"</f>
        <v>Rank of Marico (1 = best)</v>
      </c>
      <c r="C45" s="45">
        <f t="shared" ref="C45:I45" si="0">RANK(INDEX(C40:C44,MATCH($C$5,$B$40:$B$44,0)),C40:C44,0)</f>
        <v>5</v>
      </c>
      <c r="D45" s="45">
        <f t="shared" si="0"/>
        <v>5</v>
      </c>
      <c r="E45" s="45">
        <f t="shared" si="0"/>
        <v>4</v>
      </c>
      <c r="F45" s="45">
        <f t="shared" si="0"/>
        <v>5</v>
      </c>
      <c r="G45" s="45">
        <f t="shared" si="0"/>
        <v>2</v>
      </c>
      <c r="H45" s="45">
        <f t="shared" si="0"/>
        <v>2</v>
      </c>
      <c r="I45" s="45">
        <f t="shared" si="0"/>
        <v>2</v>
      </c>
      <c r="J45" s="45">
        <f>RANK(INDEX(J40:J44,MATCH($C$5,$B$40:$B$44,0)),J40:J44,1)</f>
        <v>4</v>
      </c>
      <c r="K45" s="45">
        <f>RANK(INDEX(K40:K44,MATCH($C$5,$B$40:$B$44,0)),K40:K44,1)</f>
        <v>4</v>
      </c>
      <c r="L45" s="45">
        <f>RANK(INDEX(L40:L44,MATCH($C$5,$B$40:$B$44,0)),L40:L44,0)</f>
        <v>3</v>
      </c>
    </row>
    <row r="46" spans="2:13" x14ac:dyDescent="0.35">
      <c r="B46" s="46" t="s">
        <v>75</v>
      </c>
    </row>
  </sheetData>
  <mergeCells count="33">
    <mergeCell ref="B38:M38"/>
    <mergeCell ref="H30:I30"/>
    <mergeCell ref="K30:M30"/>
    <mergeCell ref="H31:I31"/>
    <mergeCell ref="K31:M31"/>
    <mergeCell ref="H33:M35"/>
    <mergeCell ref="B11:M11"/>
    <mergeCell ref="H27:M27"/>
    <mergeCell ref="H28:I28"/>
    <mergeCell ref="K28:M28"/>
    <mergeCell ref="H29:I29"/>
    <mergeCell ref="K29:M29"/>
    <mergeCell ref="L8:M8"/>
    <mergeCell ref="B9:C9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J8:K8"/>
    <mergeCell ref="B2:M2"/>
    <mergeCell ref="B3:M3"/>
    <mergeCell ref="H5:M5"/>
    <mergeCell ref="B7:C7"/>
    <mergeCell ref="D7:E7"/>
    <mergeCell ref="F7:G7"/>
    <mergeCell ref="H7:I7"/>
    <mergeCell ref="J7:K7"/>
    <mergeCell ref="L7:M7"/>
  </mergeCells>
  <conditionalFormatting sqref="B9">
    <cfRule type="expression" dxfId="12" priority="2">
      <formula>LEFT($B$9,1)="▲"</formula>
    </cfRule>
    <cfRule type="expression" dxfId="11" priority="3">
      <formula>LEFT($B$9,1)="▼"</formula>
    </cfRule>
  </conditionalFormatting>
  <conditionalFormatting sqref="B40:B44">
    <cfRule type="expression" dxfId="10" priority="23">
      <formula>$B40=$C$5</formula>
    </cfRule>
  </conditionalFormatting>
  <conditionalFormatting sqref="D9">
    <cfRule type="expression" dxfId="9" priority="4">
      <formula>LEFT($D$9,1)="▲"</formula>
    </cfRule>
    <cfRule type="expression" dxfId="8" priority="5">
      <formula>LEFT($D$9,1)="▼"</formula>
    </cfRule>
  </conditionalFormatting>
  <conditionalFormatting sqref="D40:D44">
    <cfRule type="colorScale" priority="14">
      <colorScale>
        <cfvo type="min"/>
        <cfvo type="max"/>
        <color rgb="FFF8CBAD"/>
        <color rgb="FFC6EFCE"/>
      </colorScale>
    </cfRule>
  </conditionalFormatting>
  <conditionalFormatting sqref="E40:E44">
    <cfRule type="colorScale" priority="15">
      <colorScale>
        <cfvo type="min"/>
        <cfvo type="max"/>
        <color rgb="FFF8CBAD"/>
        <color rgb="FFC6EFCE"/>
      </colorScale>
    </cfRule>
  </conditionalFormatting>
  <conditionalFormatting sqref="F9">
    <cfRule type="expression" dxfId="7" priority="6">
      <formula>LEFT($F$9,1)="▲"</formula>
    </cfRule>
    <cfRule type="expression" dxfId="6" priority="7">
      <formula>LEFT($F$9,1)="▼"</formula>
    </cfRule>
  </conditionalFormatting>
  <conditionalFormatting sqref="F40:F44">
    <cfRule type="colorScale" priority="16">
      <colorScale>
        <cfvo type="min"/>
        <cfvo type="max"/>
        <color rgb="FFF8CBAD"/>
        <color rgb="FFC6EFCE"/>
      </colorScale>
    </cfRule>
  </conditionalFormatting>
  <conditionalFormatting sqref="G40:G44">
    <cfRule type="colorScale" priority="17">
      <colorScale>
        <cfvo type="min"/>
        <cfvo type="max"/>
        <color rgb="FFF8CBAD"/>
        <color rgb="FFC6EFCE"/>
      </colorScale>
    </cfRule>
  </conditionalFormatting>
  <conditionalFormatting sqref="H9">
    <cfRule type="expression" dxfId="5" priority="8">
      <formula>LEFT($H$9,1)="▲"</formula>
    </cfRule>
    <cfRule type="expression" dxfId="4" priority="9">
      <formula>LEFT($H$9,1)="▼"</formula>
    </cfRule>
  </conditionalFormatting>
  <conditionalFormatting sqref="H40:H44">
    <cfRule type="colorScale" priority="18">
      <colorScale>
        <cfvo type="min"/>
        <cfvo type="max"/>
        <color rgb="FFF8CBAD"/>
        <color rgb="FFC6EFCE"/>
      </colorScale>
    </cfRule>
  </conditionalFormatting>
  <conditionalFormatting sqref="I40:I44">
    <cfRule type="colorScale" priority="19">
      <colorScale>
        <cfvo type="min"/>
        <cfvo type="max"/>
        <color rgb="FFF8CBAD"/>
        <color rgb="FFC6EFCE"/>
      </colorScale>
    </cfRule>
  </conditionalFormatting>
  <conditionalFormatting sqref="J9">
    <cfRule type="expression" dxfId="3" priority="10">
      <formula>LEFT($J$9,1)="▼"</formula>
    </cfRule>
    <cfRule type="expression" dxfId="2" priority="11">
      <formula>LEFT($J$9,1)="▲"</formula>
    </cfRule>
  </conditionalFormatting>
  <conditionalFormatting sqref="J40:J44">
    <cfRule type="colorScale" priority="20">
      <colorScale>
        <cfvo type="min"/>
        <cfvo type="max"/>
        <color rgb="FFC6EFCE"/>
        <color rgb="FFF8CBAD"/>
      </colorScale>
    </cfRule>
  </conditionalFormatting>
  <conditionalFormatting sqref="K40:K44">
    <cfRule type="colorScale" priority="21">
      <colorScale>
        <cfvo type="min"/>
        <cfvo type="max"/>
        <color rgb="FFC6EFCE"/>
        <color rgb="FFF8CBAD"/>
      </colorScale>
    </cfRule>
  </conditionalFormatting>
  <conditionalFormatting sqref="L9">
    <cfRule type="expression" dxfId="1" priority="12">
      <formula>LEFT($L$9,1)="▼"</formula>
    </cfRule>
    <cfRule type="expression" dxfId="0" priority="13">
      <formula>LEFT($L$9,1)="▲"</formula>
    </cfRule>
  </conditionalFormatting>
  <conditionalFormatting sqref="L40:L44">
    <cfRule type="colorScale" priority="22">
      <colorScale>
        <cfvo type="min"/>
        <cfvo type="max"/>
        <color rgb="FFF8CBAD"/>
        <color rgb="FFC6EFCE"/>
      </colorScale>
    </cfRule>
  </conditionalFormatting>
  <dataValidations count="2">
    <dataValidation type="list" sqref="C5" xr:uid="{00000000-0002-0000-0100-000000000000}">
      <formula1>"HUL,ITC,Dabur,Britannia,Marico"</formula1>
      <formula2>0</formula2>
    </dataValidation>
    <dataValidation type="list" sqref="F5" xr:uid="{00000000-0002-0000-0100-000001000000}">
      <formula1>"FY22,FY23,FY24,FY25,FY26"</formula1>
      <formula2>0</formula2>
    </dataValidation>
  </dataValidations>
  <pageMargins left="0.75" right="0.75" top="1" bottom="1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2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12" customWidth="1"/>
    <col min="2" max="2" width="40" customWidth="1"/>
    <col min="3" max="3" width="2" customWidth="1"/>
    <col min="4" max="9" width="12" customWidth="1"/>
  </cols>
  <sheetData>
    <row r="1" spans="1:9" ht="16.5" x14ac:dyDescent="0.35">
      <c r="A1" s="47" t="s">
        <v>76</v>
      </c>
    </row>
    <row r="2" spans="1:9" x14ac:dyDescent="0.35">
      <c r="A2" s="20" t="s">
        <v>77</v>
      </c>
    </row>
    <row r="4" spans="1:9" x14ac:dyDescent="0.35">
      <c r="A4" s="23" t="s">
        <v>71</v>
      </c>
      <c r="B4" s="23" t="s">
        <v>78</v>
      </c>
      <c r="C4" s="23"/>
      <c r="D4" s="24" t="s">
        <v>79</v>
      </c>
      <c r="E4" s="24" t="s">
        <v>51</v>
      </c>
      <c r="F4" s="24" t="s">
        <v>52</v>
      </c>
      <c r="G4" s="24" t="s">
        <v>53</v>
      </c>
      <c r="H4" s="24" t="s">
        <v>54</v>
      </c>
      <c r="I4" s="24" t="s">
        <v>42</v>
      </c>
    </row>
    <row r="5" spans="1:9" x14ac:dyDescent="0.35">
      <c r="A5" s="48" t="s">
        <v>71</v>
      </c>
      <c r="B5" s="49" t="s">
        <v>80</v>
      </c>
      <c r="C5" s="50"/>
      <c r="D5" s="50"/>
      <c r="E5" s="50"/>
      <c r="F5" s="50"/>
      <c r="G5" s="50"/>
      <c r="H5" s="50"/>
      <c r="I5" s="50"/>
    </row>
    <row r="6" spans="1:9" x14ac:dyDescent="0.35">
      <c r="A6" s="27" t="s">
        <v>71</v>
      </c>
      <c r="B6" s="27" t="s">
        <v>44</v>
      </c>
      <c r="D6" s="51">
        <v>47028</v>
      </c>
      <c r="E6" s="51">
        <v>52446</v>
      </c>
      <c r="F6" s="51">
        <v>60580</v>
      </c>
      <c r="G6" s="51">
        <v>61896</v>
      </c>
      <c r="H6" s="51">
        <v>61328</v>
      </c>
      <c r="I6" s="51">
        <v>64468</v>
      </c>
    </row>
    <row r="7" spans="1:9" x14ac:dyDescent="0.35">
      <c r="A7" s="27" t="s">
        <v>71</v>
      </c>
      <c r="B7" s="27" t="s">
        <v>81</v>
      </c>
      <c r="D7" s="51">
        <v>35402</v>
      </c>
      <c r="E7" s="51">
        <v>39589</v>
      </c>
      <c r="F7" s="51">
        <v>46433</v>
      </c>
      <c r="G7" s="51">
        <v>47237</v>
      </c>
      <c r="H7" s="51">
        <v>46630</v>
      </c>
      <c r="I7" s="51">
        <v>49429</v>
      </c>
    </row>
    <row r="8" spans="1:9" x14ac:dyDescent="0.35">
      <c r="A8" s="27" t="s">
        <v>71</v>
      </c>
      <c r="B8" s="27" t="s">
        <v>82</v>
      </c>
      <c r="D8" s="51">
        <v>11626</v>
      </c>
      <c r="E8" s="51">
        <v>12857</v>
      </c>
      <c r="F8" s="51">
        <v>14147</v>
      </c>
      <c r="G8" s="51">
        <v>14659</v>
      </c>
      <c r="H8" s="51">
        <v>14698</v>
      </c>
      <c r="I8" s="51">
        <v>15039</v>
      </c>
    </row>
    <row r="9" spans="1:9" x14ac:dyDescent="0.35">
      <c r="A9" s="27" t="s">
        <v>71</v>
      </c>
      <c r="B9" s="27" t="s">
        <v>83</v>
      </c>
      <c r="D9" s="51">
        <v>170</v>
      </c>
      <c r="E9" s="51">
        <v>219</v>
      </c>
      <c r="F9" s="51">
        <v>448</v>
      </c>
      <c r="G9" s="51">
        <v>817</v>
      </c>
      <c r="H9" s="51">
        <v>1355</v>
      </c>
      <c r="I9" s="51">
        <v>4923</v>
      </c>
    </row>
    <row r="10" spans="1:9" x14ac:dyDescent="0.35">
      <c r="A10" s="27" t="s">
        <v>71</v>
      </c>
      <c r="B10" s="27" t="s">
        <v>84</v>
      </c>
      <c r="D10" s="51">
        <v>117</v>
      </c>
      <c r="E10" s="51">
        <v>106</v>
      </c>
      <c r="F10" s="51">
        <v>114</v>
      </c>
      <c r="G10" s="51">
        <v>334</v>
      </c>
      <c r="H10" s="51">
        <v>381</v>
      </c>
      <c r="I10" s="51">
        <v>410</v>
      </c>
    </row>
    <row r="11" spans="1:9" x14ac:dyDescent="0.35">
      <c r="A11" s="27" t="s">
        <v>71</v>
      </c>
      <c r="B11" s="27" t="s">
        <v>85</v>
      </c>
      <c r="D11" s="51">
        <v>1074</v>
      </c>
      <c r="E11" s="51">
        <v>1091</v>
      </c>
      <c r="F11" s="51">
        <v>1137</v>
      </c>
      <c r="G11" s="51">
        <v>1216</v>
      </c>
      <c r="H11" s="51">
        <v>1253</v>
      </c>
      <c r="I11" s="51">
        <v>1333</v>
      </c>
    </row>
    <row r="12" spans="1:9" x14ac:dyDescent="0.35">
      <c r="A12" s="27" t="s">
        <v>71</v>
      </c>
      <c r="B12" s="27" t="s">
        <v>86</v>
      </c>
      <c r="D12" s="51">
        <v>10605</v>
      </c>
      <c r="E12" s="51">
        <v>11879</v>
      </c>
      <c r="F12" s="51">
        <v>13344</v>
      </c>
      <c r="G12" s="51">
        <v>13926</v>
      </c>
      <c r="H12" s="51">
        <v>14419</v>
      </c>
      <c r="I12" s="51">
        <v>18219</v>
      </c>
    </row>
    <row r="13" spans="1:9" x14ac:dyDescent="0.35">
      <c r="A13" s="27" t="s">
        <v>71</v>
      </c>
      <c r="B13" s="27" t="s">
        <v>45</v>
      </c>
      <c r="D13" s="51">
        <v>7999</v>
      </c>
      <c r="E13" s="51">
        <v>8892</v>
      </c>
      <c r="F13" s="51">
        <v>10143</v>
      </c>
      <c r="G13" s="51">
        <v>10282</v>
      </c>
      <c r="H13" s="51">
        <v>10671</v>
      </c>
      <c r="I13" s="51">
        <v>15059</v>
      </c>
    </row>
    <row r="14" spans="1:9" x14ac:dyDescent="0.35">
      <c r="A14" s="27" t="s">
        <v>71</v>
      </c>
      <c r="B14" s="27" t="s">
        <v>87</v>
      </c>
      <c r="D14" s="52">
        <v>34.03</v>
      </c>
      <c r="E14" s="52">
        <v>37.79</v>
      </c>
      <c r="F14" s="52">
        <v>43.07</v>
      </c>
      <c r="G14" s="52">
        <v>43.74</v>
      </c>
      <c r="H14" s="52">
        <v>45.32</v>
      </c>
      <c r="I14" s="52">
        <v>64.010000000000005</v>
      </c>
    </row>
    <row r="15" spans="1:9" x14ac:dyDescent="0.35">
      <c r="A15" s="27" t="s">
        <v>71</v>
      </c>
      <c r="B15" s="27" t="s">
        <v>88</v>
      </c>
      <c r="D15" s="53">
        <v>1.19</v>
      </c>
      <c r="E15" s="53">
        <v>0.9</v>
      </c>
      <c r="F15" s="53">
        <v>0.91</v>
      </c>
      <c r="G15" s="53">
        <v>0.96</v>
      </c>
      <c r="H15" s="53">
        <v>1.17</v>
      </c>
      <c r="I15" s="53">
        <v>0.64</v>
      </c>
    </row>
    <row r="16" spans="1:9" x14ac:dyDescent="0.35">
      <c r="A16" s="48" t="s">
        <v>71</v>
      </c>
      <c r="B16" s="49" t="s">
        <v>89</v>
      </c>
      <c r="C16" s="50"/>
      <c r="D16" s="50"/>
      <c r="E16" s="50"/>
      <c r="F16" s="50"/>
      <c r="G16" s="50"/>
      <c r="H16" s="50"/>
      <c r="I16" s="50"/>
    </row>
    <row r="17" spans="1:9" x14ac:dyDescent="0.35">
      <c r="A17" s="27" t="s">
        <v>71</v>
      </c>
      <c r="B17" s="27" t="s">
        <v>90</v>
      </c>
      <c r="D17" s="51">
        <v>235</v>
      </c>
      <c r="E17" s="51">
        <v>235</v>
      </c>
      <c r="F17" s="51">
        <v>235</v>
      </c>
      <c r="G17" s="51">
        <v>235</v>
      </c>
      <c r="H17" s="51">
        <v>235</v>
      </c>
      <c r="I17" s="51">
        <v>235</v>
      </c>
    </row>
    <row r="18" spans="1:9" x14ac:dyDescent="0.35">
      <c r="A18" s="27" t="s">
        <v>71</v>
      </c>
      <c r="B18" s="27" t="s">
        <v>91</v>
      </c>
      <c r="D18" s="51">
        <v>47439</v>
      </c>
      <c r="E18" s="51">
        <v>48826</v>
      </c>
      <c r="F18" s="51">
        <v>50069</v>
      </c>
      <c r="G18" s="51">
        <v>50983</v>
      </c>
      <c r="H18" s="51">
        <v>49167</v>
      </c>
      <c r="I18" s="51">
        <v>48504</v>
      </c>
    </row>
    <row r="19" spans="1:9" x14ac:dyDescent="0.35">
      <c r="A19" s="27" t="s">
        <v>71</v>
      </c>
      <c r="B19" s="27" t="s">
        <v>92</v>
      </c>
      <c r="D19" s="51">
        <v>0</v>
      </c>
      <c r="E19" s="51">
        <v>1043</v>
      </c>
      <c r="F19" s="51">
        <v>1219</v>
      </c>
      <c r="G19" s="51">
        <v>1484</v>
      </c>
      <c r="H19" s="51">
        <v>1648</v>
      </c>
      <c r="I19" s="51">
        <v>1478</v>
      </c>
    </row>
    <row r="20" spans="1:9" x14ac:dyDescent="0.35">
      <c r="A20" s="27" t="s">
        <v>71</v>
      </c>
      <c r="B20" s="27" t="s">
        <v>93</v>
      </c>
      <c r="D20" s="51">
        <v>21066</v>
      </c>
      <c r="E20" s="51">
        <v>20402</v>
      </c>
      <c r="F20" s="51">
        <v>21554</v>
      </c>
      <c r="G20" s="51">
        <v>25787</v>
      </c>
      <c r="H20" s="51">
        <v>28813</v>
      </c>
      <c r="I20" s="51">
        <v>29521</v>
      </c>
    </row>
    <row r="21" spans="1:9" x14ac:dyDescent="0.35">
      <c r="A21" s="27" t="s">
        <v>71</v>
      </c>
      <c r="B21" s="27" t="s">
        <v>94</v>
      </c>
      <c r="D21" s="51">
        <v>68740</v>
      </c>
      <c r="E21" s="51">
        <v>70506</v>
      </c>
      <c r="F21" s="51">
        <v>73077</v>
      </c>
      <c r="G21" s="51">
        <v>78489</v>
      </c>
      <c r="H21" s="51">
        <v>79863</v>
      </c>
      <c r="I21" s="51">
        <v>79738</v>
      </c>
    </row>
    <row r="22" spans="1:9" x14ac:dyDescent="0.35">
      <c r="A22" s="27" t="s">
        <v>71</v>
      </c>
      <c r="B22" s="27" t="s">
        <v>95</v>
      </c>
      <c r="D22" s="51">
        <v>51443</v>
      </c>
      <c r="E22" s="51">
        <v>51473</v>
      </c>
      <c r="F22" s="51">
        <v>52678</v>
      </c>
      <c r="G22" s="51">
        <v>53744</v>
      </c>
      <c r="H22" s="51">
        <v>54335</v>
      </c>
      <c r="I22" s="51">
        <v>57428</v>
      </c>
    </row>
    <row r="23" spans="1:9" x14ac:dyDescent="0.35">
      <c r="A23" s="27" t="s">
        <v>71</v>
      </c>
      <c r="B23" s="27" t="s">
        <v>96</v>
      </c>
      <c r="D23" s="51">
        <v>745</v>
      </c>
      <c r="E23" s="51">
        <v>1313</v>
      </c>
      <c r="F23" s="51">
        <v>1132</v>
      </c>
      <c r="G23" s="51">
        <v>1025</v>
      </c>
      <c r="H23" s="51">
        <v>1009</v>
      </c>
      <c r="I23" s="51">
        <v>880</v>
      </c>
    </row>
    <row r="24" spans="1:9" x14ac:dyDescent="0.35">
      <c r="A24" s="27" t="s">
        <v>71</v>
      </c>
      <c r="B24" s="27" t="s">
        <v>97</v>
      </c>
      <c r="D24" s="51">
        <v>2709</v>
      </c>
      <c r="E24" s="51">
        <v>3521</v>
      </c>
      <c r="F24" s="51">
        <v>2882</v>
      </c>
      <c r="G24" s="51">
        <v>4625</v>
      </c>
      <c r="H24" s="51">
        <v>3810</v>
      </c>
      <c r="I24" s="51">
        <v>4359</v>
      </c>
    </row>
    <row r="25" spans="1:9" x14ac:dyDescent="0.35">
      <c r="A25" s="27" t="s">
        <v>71</v>
      </c>
      <c r="B25" s="27" t="s">
        <v>98</v>
      </c>
      <c r="D25" s="51">
        <v>13843</v>
      </c>
      <c r="E25" s="51">
        <v>14199</v>
      </c>
      <c r="F25" s="51">
        <v>16385</v>
      </c>
      <c r="G25" s="51">
        <v>19095</v>
      </c>
      <c r="H25" s="51">
        <v>20709</v>
      </c>
      <c r="I25" s="51">
        <v>17071</v>
      </c>
    </row>
    <row r="26" spans="1:9" x14ac:dyDescent="0.35">
      <c r="A26" s="27" t="s">
        <v>71</v>
      </c>
      <c r="B26" s="27" t="s">
        <v>99</v>
      </c>
      <c r="D26" s="54">
        <f t="shared" ref="D26:I26" si="0">D22+D23+D24+D25</f>
        <v>68740</v>
      </c>
      <c r="E26" s="54">
        <f t="shared" si="0"/>
        <v>70506</v>
      </c>
      <c r="F26" s="54">
        <f t="shared" si="0"/>
        <v>73077</v>
      </c>
      <c r="G26" s="54">
        <f t="shared" si="0"/>
        <v>78489</v>
      </c>
      <c r="H26" s="54">
        <f t="shared" si="0"/>
        <v>79863</v>
      </c>
      <c r="I26" s="54">
        <f t="shared" si="0"/>
        <v>79738</v>
      </c>
    </row>
    <row r="27" spans="1:9" x14ac:dyDescent="0.35">
      <c r="A27" s="48" t="s">
        <v>71</v>
      </c>
      <c r="B27" s="49" t="s">
        <v>100</v>
      </c>
      <c r="C27" s="50"/>
      <c r="D27" s="50"/>
      <c r="E27" s="50"/>
      <c r="F27" s="50"/>
      <c r="G27" s="50"/>
      <c r="H27" s="50"/>
      <c r="I27" s="50"/>
    </row>
    <row r="28" spans="1:9" x14ac:dyDescent="0.35">
      <c r="A28" s="27" t="s">
        <v>71</v>
      </c>
      <c r="B28" s="27" t="s">
        <v>101</v>
      </c>
      <c r="D28" s="51">
        <v>9163</v>
      </c>
      <c r="E28" s="51">
        <v>9048</v>
      </c>
      <c r="F28" s="51">
        <v>9991</v>
      </c>
      <c r="G28" s="51">
        <v>15469</v>
      </c>
      <c r="H28" s="51">
        <v>11886</v>
      </c>
      <c r="I28" s="51">
        <v>10999</v>
      </c>
    </row>
    <row r="29" spans="1:9" x14ac:dyDescent="0.35">
      <c r="A29" s="27" t="s">
        <v>71</v>
      </c>
      <c r="B29" s="27" t="s">
        <v>102</v>
      </c>
      <c r="D29" s="51">
        <v>-1228</v>
      </c>
      <c r="E29" s="51">
        <v>-1728</v>
      </c>
      <c r="F29" s="51">
        <v>-1484</v>
      </c>
      <c r="G29" s="51">
        <v>-5324</v>
      </c>
      <c r="H29" s="51">
        <v>6473</v>
      </c>
      <c r="I29" s="51">
        <v>-3676</v>
      </c>
    </row>
    <row r="30" spans="1:9" x14ac:dyDescent="0.35">
      <c r="A30" s="27" t="s">
        <v>71</v>
      </c>
      <c r="B30" s="27" t="s">
        <v>103</v>
      </c>
      <c r="D30" s="51">
        <v>-9309</v>
      </c>
      <c r="E30" s="51">
        <v>-8015</v>
      </c>
      <c r="F30" s="51">
        <v>-8953</v>
      </c>
      <c r="G30" s="51">
        <v>-10034</v>
      </c>
      <c r="H30" s="51">
        <v>-13101</v>
      </c>
      <c r="I30" s="51">
        <v>-10810</v>
      </c>
    </row>
    <row r="31" spans="1:9" x14ac:dyDescent="0.35">
      <c r="A31" s="27" t="s">
        <v>71</v>
      </c>
      <c r="B31" s="27" t="s">
        <v>104</v>
      </c>
      <c r="D31" s="51">
        <v>5097</v>
      </c>
      <c r="E31" s="51">
        <v>7995</v>
      </c>
      <c r="F31" s="51">
        <v>8980</v>
      </c>
      <c r="G31" s="51">
        <v>14012</v>
      </c>
      <c r="H31" s="51">
        <v>10624</v>
      </c>
      <c r="I31" s="51">
        <v>9667</v>
      </c>
    </row>
    <row r="32" spans="1:9" x14ac:dyDescent="0.35">
      <c r="A32" s="48" t="s">
        <v>71</v>
      </c>
      <c r="B32" s="49" t="s">
        <v>105</v>
      </c>
      <c r="C32" s="50"/>
      <c r="D32" s="50"/>
      <c r="E32" s="50"/>
      <c r="F32" s="50"/>
      <c r="G32" s="50"/>
      <c r="H32" s="50"/>
      <c r="I32" s="50"/>
    </row>
    <row r="33" spans="1:9" x14ac:dyDescent="0.35">
      <c r="A33" s="27" t="s">
        <v>71</v>
      </c>
      <c r="B33" s="27" t="s">
        <v>106</v>
      </c>
      <c r="D33" s="55">
        <v>14</v>
      </c>
      <c r="E33" s="55">
        <v>16</v>
      </c>
      <c r="F33" s="55">
        <v>19</v>
      </c>
      <c r="G33" s="55">
        <v>18</v>
      </c>
      <c r="H33" s="55">
        <v>23</v>
      </c>
      <c r="I33" s="55">
        <v>19</v>
      </c>
    </row>
    <row r="34" spans="1:9" x14ac:dyDescent="0.35">
      <c r="A34" s="27" t="s">
        <v>71</v>
      </c>
      <c r="B34" s="27" t="s">
        <v>107</v>
      </c>
      <c r="D34" s="55">
        <v>66</v>
      </c>
      <c r="E34" s="55">
        <v>65</v>
      </c>
      <c r="F34" s="55">
        <v>55</v>
      </c>
      <c r="G34" s="55">
        <v>55</v>
      </c>
      <c r="H34" s="55">
        <v>61</v>
      </c>
      <c r="I34" s="55">
        <v>61</v>
      </c>
    </row>
    <row r="35" spans="1:9" x14ac:dyDescent="0.35">
      <c r="A35" s="27" t="s">
        <v>71</v>
      </c>
      <c r="B35" s="27" t="s">
        <v>108</v>
      </c>
      <c r="D35" s="55">
        <v>163</v>
      </c>
      <c r="E35" s="55">
        <v>145</v>
      </c>
      <c r="F35" s="55">
        <v>123</v>
      </c>
      <c r="G35" s="55">
        <v>143</v>
      </c>
      <c r="H35" s="55">
        <v>156</v>
      </c>
      <c r="I35" s="55">
        <v>169</v>
      </c>
    </row>
    <row r="36" spans="1:9" x14ac:dyDescent="0.35">
      <c r="A36" s="48" t="s">
        <v>71</v>
      </c>
      <c r="B36" s="49" t="s">
        <v>109</v>
      </c>
      <c r="C36" s="50"/>
      <c r="D36" s="50"/>
      <c r="E36" s="50"/>
      <c r="F36" s="50"/>
      <c r="G36" s="50"/>
      <c r="H36" s="50"/>
      <c r="I36" s="50"/>
    </row>
    <row r="37" spans="1:9" x14ac:dyDescent="0.35">
      <c r="A37" s="27" t="s">
        <v>71</v>
      </c>
      <c r="B37" s="27" t="s">
        <v>110</v>
      </c>
      <c r="D37" s="54">
        <f t="shared" ref="D37:I37" si="1">D17+D18</f>
        <v>47674</v>
      </c>
      <c r="E37" s="54">
        <f t="shared" si="1"/>
        <v>49061</v>
      </c>
      <c r="F37" s="54">
        <f t="shared" si="1"/>
        <v>50304</v>
      </c>
      <c r="G37" s="54">
        <f t="shared" si="1"/>
        <v>51218</v>
      </c>
      <c r="H37" s="54">
        <f t="shared" si="1"/>
        <v>49402</v>
      </c>
      <c r="I37" s="54">
        <f t="shared" si="1"/>
        <v>48739</v>
      </c>
    </row>
    <row r="38" spans="1:9" x14ac:dyDescent="0.35">
      <c r="A38" s="27" t="s">
        <v>71</v>
      </c>
      <c r="B38" s="27" t="s">
        <v>111</v>
      </c>
      <c r="D38" s="54">
        <f t="shared" ref="D38:I38" si="2">D12+D10</f>
        <v>10722</v>
      </c>
      <c r="E38" s="54">
        <f t="shared" si="2"/>
        <v>11985</v>
      </c>
      <c r="F38" s="54">
        <f t="shared" si="2"/>
        <v>13458</v>
      </c>
      <c r="G38" s="54">
        <f t="shared" si="2"/>
        <v>14260</v>
      </c>
      <c r="H38" s="54">
        <f t="shared" si="2"/>
        <v>14800</v>
      </c>
      <c r="I38" s="54">
        <f t="shared" si="2"/>
        <v>18629</v>
      </c>
    </row>
    <row r="39" spans="1:9" x14ac:dyDescent="0.35">
      <c r="A39" s="27" t="s">
        <v>71</v>
      </c>
      <c r="B39" s="27" t="s">
        <v>112</v>
      </c>
      <c r="D39" s="54">
        <f t="shared" ref="D39:I39" si="3">D37+D19</f>
        <v>47674</v>
      </c>
      <c r="E39" s="54">
        <f t="shared" si="3"/>
        <v>50104</v>
      </c>
      <c r="F39" s="54">
        <f t="shared" si="3"/>
        <v>51523</v>
      </c>
      <c r="G39" s="54">
        <f t="shared" si="3"/>
        <v>52702</v>
      </c>
      <c r="H39" s="54">
        <f t="shared" si="3"/>
        <v>51050</v>
      </c>
      <c r="I39" s="54">
        <f t="shared" si="3"/>
        <v>50217</v>
      </c>
    </row>
    <row r="40" spans="1:9" x14ac:dyDescent="0.35">
      <c r="A40" s="27" t="s">
        <v>71</v>
      </c>
      <c r="B40" s="27" t="s">
        <v>113</v>
      </c>
      <c r="D40" s="54">
        <f t="shared" ref="D40:I40" si="4">D26-D21</f>
        <v>0</v>
      </c>
      <c r="E40" s="54">
        <f t="shared" si="4"/>
        <v>0</v>
      </c>
      <c r="F40" s="54">
        <f t="shared" si="4"/>
        <v>0</v>
      </c>
      <c r="G40" s="54">
        <f t="shared" si="4"/>
        <v>0</v>
      </c>
      <c r="H40" s="54">
        <f t="shared" si="4"/>
        <v>0</v>
      </c>
      <c r="I40" s="54">
        <f t="shared" si="4"/>
        <v>0</v>
      </c>
    </row>
    <row r="42" spans="1:9" x14ac:dyDescent="0.35">
      <c r="A42" s="23" t="s">
        <v>72</v>
      </c>
      <c r="B42" s="23" t="s">
        <v>78</v>
      </c>
      <c r="C42" s="23"/>
      <c r="D42" s="24" t="s">
        <v>79</v>
      </c>
      <c r="E42" s="24" t="s">
        <v>51</v>
      </c>
      <c r="F42" s="24" t="s">
        <v>52</v>
      </c>
      <c r="G42" s="24" t="s">
        <v>53</v>
      </c>
      <c r="H42" s="24" t="s">
        <v>54</v>
      </c>
      <c r="I42" s="24" t="s">
        <v>42</v>
      </c>
    </row>
    <row r="43" spans="1:9" x14ac:dyDescent="0.35">
      <c r="A43" s="48" t="s">
        <v>72</v>
      </c>
      <c r="B43" s="49" t="s">
        <v>80</v>
      </c>
      <c r="C43" s="50"/>
      <c r="D43" s="50"/>
      <c r="E43" s="50"/>
      <c r="F43" s="50"/>
      <c r="G43" s="50"/>
      <c r="H43" s="50"/>
      <c r="I43" s="50"/>
    </row>
    <row r="44" spans="1:9" x14ac:dyDescent="0.35">
      <c r="A44" s="27" t="s">
        <v>72</v>
      </c>
      <c r="B44" s="27" t="s">
        <v>44</v>
      </c>
      <c r="D44" s="51">
        <v>49257</v>
      </c>
      <c r="E44" s="51">
        <v>60645</v>
      </c>
      <c r="F44" s="51">
        <v>70919</v>
      </c>
      <c r="G44" s="51">
        <v>67932</v>
      </c>
      <c r="H44" s="51">
        <v>75323</v>
      </c>
      <c r="I44" s="51">
        <v>78868</v>
      </c>
    </row>
    <row r="45" spans="1:9" x14ac:dyDescent="0.35">
      <c r="A45" s="27" t="s">
        <v>72</v>
      </c>
      <c r="B45" s="27" t="s">
        <v>81</v>
      </c>
      <c r="D45" s="51">
        <v>32193</v>
      </c>
      <c r="E45" s="51">
        <v>40021</v>
      </c>
      <c r="F45" s="51">
        <v>45215</v>
      </c>
      <c r="G45" s="51">
        <v>42744</v>
      </c>
      <c r="H45" s="51">
        <v>49492</v>
      </c>
      <c r="I45" s="51">
        <v>51562</v>
      </c>
    </row>
    <row r="46" spans="1:9" x14ac:dyDescent="0.35">
      <c r="A46" s="27" t="s">
        <v>72</v>
      </c>
      <c r="B46" s="27" t="s">
        <v>82</v>
      </c>
      <c r="D46" s="51">
        <v>17065</v>
      </c>
      <c r="E46" s="51">
        <v>20623</v>
      </c>
      <c r="F46" s="51">
        <v>25704</v>
      </c>
      <c r="G46" s="51">
        <v>25188</v>
      </c>
      <c r="H46" s="51">
        <v>25832</v>
      </c>
      <c r="I46" s="51">
        <v>27306</v>
      </c>
    </row>
    <row r="47" spans="1:9" x14ac:dyDescent="0.35">
      <c r="A47" s="27" t="s">
        <v>72</v>
      </c>
      <c r="B47" s="27" t="s">
        <v>83</v>
      </c>
      <c r="D47" s="51">
        <v>2577</v>
      </c>
      <c r="E47" s="51">
        <v>1910</v>
      </c>
      <c r="F47" s="51">
        <v>2098</v>
      </c>
      <c r="G47" s="51">
        <v>3330</v>
      </c>
      <c r="H47" s="51">
        <v>17803</v>
      </c>
      <c r="I47" s="51">
        <v>2523</v>
      </c>
    </row>
    <row r="48" spans="1:9" x14ac:dyDescent="0.35">
      <c r="A48" s="27" t="s">
        <v>72</v>
      </c>
      <c r="B48" s="27" t="s">
        <v>84</v>
      </c>
      <c r="D48" s="51">
        <v>58</v>
      </c>
      <c r="E48" s="51">
        <v>60</v>
      </c>
      <c r="F48" s="51">
        <v>78</v>
      </c>
      <c r="G48" s="51">
        <v>39</v>
      </c>
      <c r="H48" s="51">
        <v>45</v>
      </c>
      <c r="I48" s="51">
        <v>85</v>
      </c>
    </row>
    <row r="49" spans="1:9" x14ac:dyDescent="0.35">
      <c r="A49" s="27" t="s">
        <v>72</v>
      </c>
      <c r="B49" s="27" t="s">
        <v>85</v>
      </c>
      <c r="D49" s="51">
        <v>1646</v>
      </c>
      <c r="E49" s="51">
        <v>1732</v>
      </c>
      <c r="F49" s="51">
        <v>1809</v>
      </c>
      <c r="G49" s="51">
        <v>1518</v>
      </c>
      <c r="H49" s="51">
        <v>1646</v>
      </c>
      <c r="I49" s="51">
        <v>1711</v>
      </c>
    </row>
    <row r="50" spans="1:9" x14ac:dyDescent="0.35">
      <c r="A50" s="27" t="s">
        <v>72</v>
      </c>
      <c r="B50" s="27" t="s">
        <v>86</v>
      </c>
      <c r="D50" s="51">
        <v>17938</v>
      </c>
      <c r="E50" s="51">
        <v>20740</v>
      </c>
      <c r="F50" s="51">
        <v>25915</v>
      </c>
      <c r="G50" s="51">
        <v>26961</v>
      </c>
      <c r="H50" s="51">
        <v>41943</v>
      </c>
      <c r="I50" s="51">
        <v>28033</v>
      </c>
    </row>
    <row r="51" spans="1:9" x14ac:dyDescent="0.35">
      <c r="A51" s="27" t="s">
        <v>72</v>
      </c>
      <c r="B51" s="27" t="s">
        <v>45</v>
      </c>
      <c r="D51" s="51">
        <v>13383</v>
      </c>
      <c r="E51" s="51">
        <v>15503</v>
      </c>
      <c r="F51" s="51">
        <v>19477</v>
      </c>
      <c r="G51" s="51">
        <v>20751</v>
      </c>
      <c r="H51" s="51">
        <v>35052</v>
      </c>
      <c r="I51" s="51">
        <v>21018</v>
      </c>
    </row>
    <row r="52" spans="1:9" x14ac:dyDescent="0.35">
      <c r="A52" s="27" t="s">
        <v>72</v>
      </c>
      <c r="B52" s="27" t="s">
        <v>87</v>
      </c>
      <c r="D52" s="52">
        <v>10.69</v>
      </c>
      <c r="E52" s="52">
        <v>12.37</v>
      </c>
      <c r="F52" s="52">
        <v>15.44</v>
      </c>
      <c r="G52" s="52">
        <v>16.39</v>
      </c>
      <c r="H52" s="52">
        <v>27.77</v>
      </c>
      <c r="I52" s="52">
        <v>16.510000000000002</v>
      </c>
    </row>
    <row r="53" spans="1:9" x14ac:dyDescent="0.35">
      <c r="A53" s="27" t="s">
        <v>72</v>
      </c>
      <c r="B53" s="27" t="s">
        <v>88</v>
      </c>
      <c r="D53" s="53">
        <v>1.01</v>
      </c>
      <c r="E53" s="53">
        <v>0.93</v>
      </c>
      <c r="F53" s="53">
        <v>1</v>
      </c>
      <c r="G53" s="53">
        <v>0.84</v>
      </c>
      <c r="H53" s="53">
        <v>0.52</v>
      </c>
      <c r="I53" s="53">
        <v>0.88</v>
      </c>
    </row>
    <row r="54" spans="1:9" x14ac:dyDescent="0.35">
      <c r="A54" s="48" t="s">
        <v>72</v>
      </c>
      <c r="B54" s="49" t="s">
        <v>89</v>
      </c>
      <c r="C54" s="50"/>
      <c r="D54" s="50"/>
      <c r="E54" s="50"/>
      <c r="F54" s="50"/>
      <c r="G54" s="50"/>
      <c r="H54" s="50"/>
      <c r="I54" s="50"/>
    </row>
    <row r="55" spans="1:9" x14ac:dyDescent="0.35">
      <c r="A55" s="27" t="s">
        <v>72</v>
      </c>
      <c r="B55" s="27" t="s">
        <v>90</v>
      </c>
      <c r="D55" s="51">
        <v>1231</v>
      </c>
      <c r="E55" s="51">
        <v>1232</v>
      </c>
      <c r="F55" s="51">
        <v>1243</v>
      </c>
      <c r="G55" s="51">
        <v>1248</v>
      </c>
      <c r="H55" s="51">
        <v>1251</v>
      </c>
      <c r="I55" s="51">
        <v>1253</v>
      </c>
    </row>
    <row r="56" spans="1:9" x14ac:dyDescent="0.35">
      <c r="A56" s="27" t="s">
        <v>72</v>
      </c>
      <c r="B56" s="27" t="s">
        <v>91</v>
      </c>
      <c r="D56" s="51">
        <v>59116</v>
      </c>
      <c r="E56" s="51">
        <v>61223</v>
      </c>
      <c r="F56" s="51">
        <v>67912</v>
      </c>
      <c r="G56" s="51">
        <v>73259</v>
      </c>
      <c r="H56" s="51">
        <v>68779</v>
      </c>
      <c r="I56" s="51">
        <v>71254</v>
      </c>
    </row>
    <row r="57" spans="1:9" x14ac:dyDescent="0.35">
      <c r="A57" s="27" t="s">
        <v>72</v>
      </c>
      <c r="B57" s="27" t="s">
        <v>92</v>
      </c>
      <c r="D57" s="51">
        <v>271</v>
      </c>
      <c r="E57" s="51">
        <v>249</v>
      </c>
      <c r="F57" s="51">
        <v>306</v>
      </c>
      <c r="G57" s="51">
        <v>303</v>
      </c>
      <c r="H57" s="51">
        <v>285</v>
      </c>
      <c r="I57" s="51">
        <v>2399</v>
      </c>
    </row>
    <row r="58" spans="1:9" x14ac:dyDescent="0.35">
      <c r="A58" s="27" t="s">
        <v>72</v>
      </c>
      <c r="B58" s="27" t="s">
        <v>93</v>
      </c>
      <c r="D58" s="51">
        <v>13143</v>
      </c>
      <c r="E58" s="51">
        <v>14491</v>
      </c>
      <c r="F58" s="51">
        <v>16370</v>
      </c>
      <c r="G58" s="51">
        <v>16944</v>
      </c>
      <c r="H58" s="51">
        <v>17688</v>
      </c>
      <c r="I58" s="51">
        <v>18731</v>
      </c>
    </row>
    <row r="59" spans="1:9" x14ac:dyDescent="0.35">
      <c r="A59" s="27" t="s">
        <v>72</v>
      </c>
      <c r="B59" s="27" t="s">
        <v>94</v>
      </c>
      <c r="D59" s="51">
        <v>73761</v>
      </c>
      <c r="E59" s="51">
        <v>77196</v>
      </c>
      <c r="F59" s="51">
        <v>85831</v>
      </c>
      <c r="G59" s="51">
        <v>91754</v>
      </c>
      <c r="H59" s="51">
        <v>88003</v>
      </c>
      <c r="I59" s="51">
        <v>93637</v>
      </c>
    </row>
    <row r="60" spans="1:9" x14ac:dyDescent="0.35">
      <c r="A60" s="27" t="s">
        <v>72</v>
      </c>
      <c r="B60" s="27" t="s">
        <v>95</v>
      </c>
      <c r="D60" s="51">
        <v>23298</v>
      </c>
      <c r="E60" s="51">
        <v>24232</v>
      </c>
      <c r="F60" s="51">
        <v>25851</v>
      </c>
      <c r="G60" s="51">
        <v>27820</v>
      </c>
      <c r="H60" s="51">
        <v>21955</v>
      </c>
      <c r="I60" s="51">
        <v>22443</v>
      </c>
    </row>
    <row r="61" spans="1:9" x14ac:dyDescent="0.35">
      <c r="A61" s="27" t="s">
        <v>72</v>
      </c>
      <c r="B61" s="27" t="s">
        <v>96</v>
      </c>
      <c r="D61" s="51">
        <v>4011</v>
      </c>
      <c r="E61" s="51">
        <v>3226</v>
      </c>
      <c r="F61" s="51">
        <v>3003</v>
      </c>
      <c r="G61" s="51">
        <v>2861</v>
      </c>
      <c r="H61" s="51">
        <v>1091</v>
      </c>
      <c r="I61" s="51">
        <v>1602</v>
      </c>
    </row>
    <row r="62" spans="1:9" x14ac:dyDescent="0.35">
      <c r="A62" s="27" t="s">
        <v>72</v>
      </c>
      <c r="B62" s="27" t="s">
        <v>97</v>
      </c>
      <c r="D62" s="51">
        <v>24871</v>
      </c>
      <c r="E62" s="51">
        <v>24841</v>
      </c>
      <c r="F62" s="51">
        <v>29415</v>
      </c>
      <c r="G62" s="51">
        <v>31114</v>
      </c>
      <c r="H62" s="51">
        <v>34720</v>
      </c>
      <c r="I62" s="51">
        <v>38128</v>
      </c>
    </row>
    <row r="63" spans="1:9" x14ac:dyDescent="0.35">
      <c r="A63" s="27" t="s">
        <v>72</v>
      </c>
      <c r="B63" s="27" t="s">
        <v>98</v>
      </c>
      <c r="D63" s="51">
        <v>21580</v>
      </c>
      <c r="E63" s="51">
        <v>24898</v>
      </c>
      <c r="F63" s="51">
        <v>27561</v>
      </c>
      <c r="G63" s="51">
        <v>29959</v>
      </c>
      <c r="H63" s="51">
        <v>30237</v>
      </c>
      <c r="I63" s="51">
        <v>31464</v>
      </c>
    </row>
    <row r="64" spans="1:9" x14ac:dyDescent="0.35">
      <c r="A64" s="27" t="s">
        <v>72</v>
      </c>
      <c r="B64" s="27" t="s">
        <v>99</v>
      </c>
      <c r="D64" s="54">
        <f t="shared" ref="D64:I64" si="5">D60+D61+D62+D63</f>
        <v>73760</v>
      </c>
      <c r="E64" s="54">
        <f t="shared" si="5"/>
        <v>77197</v>
      </c>
      <c r="F64" s="54">
        <f t="shared" si="5"/>
        <v>85830</v>
      </c>
      <c r="G64" s="54">
        <f t="shared" si="5"/>
        <v>91754</v>
      </c>
      <c r="H64" s="54">
        <f t="shared" si="5"/>
        <v>88003</v>
      </c>
      <c r="I64" s="54">
        <f t="shared" si="5"/>
        <v>93637</v>
      </c>
    </row>
    <row r="65" spans="1:9" x14ac:dyDescent="0.35">
      <c r="A65" s="48" t="s">
        <v>72</v>
      </c>
      <c r="B65" s="49" t="s">
        <v>100</v>
      </c>
      <c r="C65" s="50"/>
      <c r="D65" s="50"/>
      <c r="E65" s="50"/>
      <c r="F65" s="50"/>
      <c r="G65" s="50"/>
      <c r="H65" s="50"/>
      <c r="I65" s="50"/>
    </row>
    <row r="66" spans="1:9" x14ac:dyDescent="0.35">
      <c r="A66" s="27" t="s">
        <v>72</v>
      </c>
      <c r="B66" s="27" t="s">
        <v>101</v>
      </c>
      <c r="D66" s="51">
        <v>12527</v>
      </c>
      <c r="E66" s="51">
        <v>15776</v>
      </c>
      <c r="F66" s="51">
        <v>18878</v>
      </c>
      <c r="G66" s="51">
        <v>17179</v>
      </c>
      <c r="H66" s="51">
        <v>17627</v>
      </c>
      <c r="I66" s="51">
        <v>18464</v>
      </c>
    </row>
    <row r="67" spans="1:9" x14ac:dyDescent="0.35">
      <c r="A67" s="27" t="s">
        <v>72</v>
      </c>
      <c r="B67" s="27" t="s">
        <v>102</v>
      </c>
      <c r="D67" s="51">
        <v>5740</v>
      </c>
      <c r="E67" s="51">
        <v>-2238</v>
      </c>
      <c r="F67" s="51">
        <v>-5732</v>
      </c>
      <c r="G67" s="51">
        <v>1563</v>
      </c>
      <c r="H67" s="51">
        <v>-564</v>
      </c>
      <c r="I67" s="51">
        <v>-2321</v>
      </c>
    </row>
    <row r="68" spans="1:9" x14ac:dyDescent="0.35">
      <c r="A68" s="27" t="s">
        <v>72</v>
      </c>
      <c r="B68" s="27" t="s">
        <v>103</v>
      </c>
      <c r="D68" s="51">
        <v>-18634</v>
      </c>
      <c r="E68" s="51">
        <v>-13580</v>
      </c>
      <c r="F68" s="51">
        <v>-13006</v>
      </c>
      <c r="G68" s="51">
        <v>-18551</v>
      </c>
      <c r="H68" s="51">
        <v>-17037</v>
      </c>
      <c r="I68" s="51">
        <v>-16147</v>
      </c>
    </row>
    <row r="69" spans="1:9" x14ac:dyDescent="0.35">
      <c r="A69" s="27" t="s">
        <v>72</v>
      </c>
      <c r="B69" s="27" t="s">
        <v>104</v>
      </c>
      <c r="D69" s="51">
        <v>10693</v>
      </c>
      <c r="E69" s="51">
        <v>13767</v>
      </c>
      <c r="F69" s="51">
        <v>16184</v>
      </c>
      <c r="G69" s="51">
        <v>13724</v>
      </c>
      <c r="H69" s="51">
        <v>15524</v>
      </c>
      <c r="I69" s="51">
        <v>16332</v>
      </c>
    </row>
    <row r="70" spans="1:9" x14ac:dyDescent="0.35">
      <c r="A70" s="48" t="s">
        <v>72</v>
      </c>
      <c r="B70" s="49" t="s">
        <v>105</v>
      </c>
      <c r="C70" s="50"/>
      <c r="D70" s="50"/>
      <c r="E70" s="50"/>
      <c r="F70" s="50"/>
      <c r="G70" s="50"/>
      <c r="H70" s="50"/>
      <c r="I70" s="50"/>
    </row>
    <row r="71" spans="1:9" x14ac:dyDescent="0.35">
      <c r="A71" s="27" t="s">
        <v>72</v>
      </c>
      <c r="B71" s="27" t="s">
        <v>106</v>
      </c>
      <c r="D71" s="55">
        <v>19</v>
      </c>
      <c r="E71" s="55">
        <v>15</v>
      </c>
      <c r="F71" s="55">
        <v>15</v>
      </c>
      <c r="G71" s="55">
        <v>22</v>
      </c>
      <c r="H71" s="55">
        <v>23</v>
      </c>
      <c r="I71" s="55">
        <v>18</v>
      </c>
    </row>
    <row r="72" spans="1:9" x14ac:dyDescent="0.35">
      <c r="A72" s="27" t="s">
        <v>72</v>
      </c>
      <c r="B72" s="27" t="s">
        <v>107</v>
      </c>
      <c r="D72" s="55">
        <v>189</v>
      </c>
      <c r="E72" s="55">
        <v>150</v>
      </c>
      <c r="F72" s="55">
        <v>148</v>
      </c>
      <c r="G72" s="55">
        <v>191</v>
      </c>
      <c r="H72" s="55">
        <v>178</v>
      </c>
      <c r="I72" s="55">
        <v>209</v>
      </c>
    </row>
    <row r="73" spans="1:9" x14ac:dyDescent="0.35">
      <c r="A73" s="27" t="s">
        <v>72</v>
      </c>
      <c r="B73" s="27" t="s">
        <v>108</v>
      </c>
      <c r="D73" s="55">
        <v>78</v>
      </c>
      <c r="E73" s="55">
        <v>61</v>
      </c>
      <c r="F73" s="55">
        <v>59</v>
      </c>
      <c r="G73" s="55">
        <v>65</v>
      </c>
      <c r="H73" s="55">
        <v>55</v>
      </c>
      <c r="I73" s="55">
        <v>63</v>
      </c>
    </row>
    <row r="74" spans="1:9" x14ac:dyDescent="0.35">
      <c r="A74" s="48" t="s">
        <v>72</v>
      </c>
      <c r="B74" s="49" t="s">
        <v>109</v>
      </c>
      <c r="C74" s="50"/>
      <c r="D74" s="50"/>
      <c r="E74" s="50"/>
      <c r="F74" s="50"/>
      <c r="G74" s="50"/>
      <c r="H74" s="50"/>
      <c r="I74" s="50"/>
    </row>
    <row r="75" spans="1:9" x14ac:dyDescent="0.35">
      <c r="A75" s="27" t="s">
        <v>72</v>
      </c>
      <c r="B75" s="27" t="s">
        <v>110</v>
      </c>
      <c r="D75" s="54">
        <f t="shared" ref="D75:I75" si="6">D55+D56</f>
        <v>60347</v>
      </c>
      <c r="E75" s="54">
        <f t="shared" si="6"/>
        <v>62455</v>
      </c>
      <c r="F75" s="54">
        <f t="shared" si="6"/>
        <v>69155</v>
      </c>
      <c r="G75" s="54">
        <f t="shared" si="6"/>
        <v>74507</v>
      </c>
      <c r="H75" s="54">
        <f t="shared" si="6"/>
        <v>70030</v>
      </c>
      <c r="I75" s="54">
        <f t="shared" si="6"/>
        <v>72507</v>
      </c>
    </row>
    <row r="76" spans="1:9" x14ac:dyDescent="0.35">
      <c r="A76" s="27" t="s">
        <v>72</v>
      </c>
      <c r="B76" s="27" t="s">
        <v>111</v>
      </c>
      <c r="D76" s="54">
        <f t="shared" ref="D76:I76" si="7">D50+D48</f>
        <v>17996</v>
      </c>
      <c r="E76" s="54">
        <f t="shared" si="7"/>
        <v>20800</v>
      </c>
      <c r="F76" s="54">
        <f t="shared" si="7"/>
        <v>25993</v>
      </c>
      <c r="G76" s="54">
        <f t="shared" si="7"/>
        <v>27000</v>
      </c>
      <c r="H76" s="54">
        <f t="shared" si="7"/>
        <v>41988</v>
      </c>
      <c r="I76" s="54">
        <f t="shared" si="7"/>
        <v>28118</v>
      </c>
    </row>
    <row r="77" spans="1:9" x14ac:dyDescent="0.35">
      <c r="A77" s="27" t="s">
        <v>72</v>
      </c>
      <c r="B77" s="27" t="s">
        <v>112</v>
      </c>
      <c r="D77" s="54">
        <f t="shared" ref="D77:I77" si="8">D75+D57</f>
        <v>60618</v>
      </c>
      <c r="E77" s="54">
        <f t="shared" si="8"/>
        <v>62704</v>
      </c>
      <c r="F77" s="54">
        <f t="shared" si="8"/>
        <v>69461</v>
      </c>
      <c r="G77" s="54">
        <f t="shared" si="8"/>
        <v>74810</v>
      </c>
      <c r="H77" s="54">
        <f t="shared" si="8"/>
        <v>70315</v>
      </c>
      <c r="I77" s="54">
        <f t="shared" si="8"/>
        <v>74906</v>
      </c>
    </row>
    <row r="78" spans="1:9" x14ac:dyDescent="0.35">
      <c r="A78" s="27" t="s">
        <v>72</v>
      </c>
      <c r="B78" s="27" t="s">
        <v>113</v>
      </c>
      <c r="D78" s="54">
        <f t="shared" ref="D78:I78" si="9">D64-D59</f>
        <v>-1</v>
      </c>
      <c r="E78" s="54">
        <f t="shared" si="9"/>
        <v>1</v>
      </c>
      <c r="F78" s="54">
        <f t="shared" si="9"/>
        <v>-1</v>
      </c>
      <c r="G78" s="54">
        <f t="shared" si="9"/>
        <v>0</v>
      </c>
      <c r="H78" s="54">
        <f t="shared" si="9"/>
        <v>0</v>
      </c>
      <c r="I78" s="54">
        <f t="shared" si="9"/>
        <v>0</v>
      </c>
    </row>
    <row r="80" spans="1:9" x14ac:dyDescent="0.35">
      <c r="A80" s="23" t="s">
        <v>73</v>
      </c>
      <c r="B80" s="23" t="s">
        <v>78</v>
      </c>
      <c r="C80" s="23"/>
      <c r="D80" s="24" t="s">
        <v>79</v>
      </c>
      <c r="E80" s="24" t="s">
        <v>51</v>
      </c>
      <c r="F80" s="24" t="s">
        <v>52</v>
      </c>
      <c r="G80" s="24" t="s">
        <v>53</v>
      </c>
      <c r="H80" s="24" t="s">
        <v>54</v>
      </c>
      <c r="I80" s="24" t="s">
        <v>42</v>
      </c>
    </row>
    <row r="81" spans="1:9" x14ac:dyDescent="0.35">
      <c r="A81" s="48" t="s">
        <v>73</v>
      </c>
      <c r="B81" s="49" t="s">
        <v>80</v>
      </c>
      <c r="C81" s="50"/>
      <c r="D81" s="50"/>
      <c r="E81" s="50"/>
      <c r="F81" s="50"/>
      <c r="G81" s="50"/>
      <c r="H81" s="50"/>
      <c r="I81" s="50"/>
    </row>
    <row r="82" spans="1:9" x14ac:dyDescent="0.35">
      <c r="A82" s="27" t="s">
        <v>73</v>
      </c>
      <c r="B82" s="27" t="s">
        <v>44</v>
      </c>
      <c r="D82" s="51">
        <v>9562</v>
      </c>
      <c r="E82" s="51">
        <v>10889</v>
      </c>
      <c r="F82" s="51">
        <v>11530</v>
      </c>
      <c r="G82" s="51">
        <v>12404</v>
      </c>
      <c r="H82" s="51">
        <v>12563</v>
      </c>
      <c r="I82" s="51">
        <v>13193</v>
      </c>
    </row>
    <row r="83" spans="1:9" x14ac:dyDescent="0.35">
      <c r="A83" s="27" t="s">
        <v>73</v>
      </c>
      <c r="B83" s="27" t="s">
        <v>81</v>
      </c>
      <c r="D83" s="51">
        <v>7560</v>
      </c>
      <c r="E83" s="51">
        <v>8637</v>
      </c>
      <c r="F83" s="51">
        <v>9367</v>
      </c>
      <c r="G83" s="51">
        <v>10004</v>
      </c>
      <c r="H83" s="51">
        <v>10247</v>
      </c>
      <c r="I83" s="51">
        <v>10743</v>
      </c>
    </row>
    <row r="84" spans="1:9" x14ac:dyDescent="0.35">
      <c r="A84" s="27" t="s">
        <v>73</v>
      </c>
      <c r="B84" s="27" t="s">
        <v>82</v>
      </c>
      <c r="D84" s="51">
        <v>2002</v>
      </c>
      <c r="E84" s="51">
        <v>2252</v>
      </c>
      <c r="F84" s="51">
        <v>2162</v>
      </c>
      <c r="G84" s="51">
        <v>2400</v>
      </c>
      <c r="H84" s="51">
        <v>2316</v>
      </c>
      <c r="I84" s="51">
        <v>2450</v>
      </c>
    </row>
    <row r="85" spans="1:9" x14ac:dyDescent="0.35">
      <c r="A85" s="27" t="s">
        <v>73</v>
      </c>
      <c r="B85" s="27" t="s">
        <v>83</v>
      </c>
      <c r="D85" s="51">
        <v>325</v>
      </c>
      <c r="E85" s="51">
        <v>308</v>
      </c>
      <c r="F85" s="51">
        <v>445</v>
      </c>
      <c r="G85" s="51">
        <v>482</v>
      </c>
      <c r="H85" s="51">
        <v>551</v>
      </c>
      <c r="I85" s="51">
        <v>585</v>
      </c>
    </row>
    <row r="86" spans="1:9" x14ac:dyDescent="0.35">
      <c r="A86" s="27" t="s">
        <v>73</v>
      </c>
      <c r="B86" s="27" t="s">
        <v>84</v>
      </c>
      <c r="D86" s="51">
        <v>31</v>
      </c>
      <c r="E86" s="51">
        <v>39</v>
      </c>
      <c r="F86" s="51">
        <v>78</v>
      </c>
      <c r="G86" s="51">
        <v>124</v>
      </c>
      <c r="H86" s="51">
        <v>164</v>
      </c>
      <c r="I86" s="51">
        <v>145</v>
      </c>
    </row>
    <row r="87" spans="1:9" x14ac:dyDescent="0.35">
      <c r="A87" s="27" t="s">
        <v>73</v>
      </c>
      <c r="B87" s="27" t="s">
        <v>85</v>
      </c>
      <c r="D87" s="51">
        <v>240</v>
      </c>
      <c r="E87" s="51">
        <v>253</v>
      </c>
      <c r="F87" s="51">
        <v>311</v>
      </c>
      <c r="G87" s="51">
        <v>399</v>
      </c>
      <c r="H87" s="51">
        <v>446</v>
      </c>
      <c r="I87" s="51">
        <v>469</v>
      </c>
    </row>
    <row r="88" spans="1:9" x14ac:dyDescent="0.35">
      <c r="A88" s="27" t="s">
        <v>73</v>
      </c>
      <c r="B88" s="27" t="s">
        <v>86</v>
      </c>
      <c r="D88" s="51">
        <v>2056</v>
      </c>
      <c r="E88" s="51">
        <v>2269</v>
      </c>
      <c r="F88" s="51">
        <v>2219</v>
      </c>
      <c r="G88" s="51">
        <v>2359</v>
      </c>
      <c r="H88" s="51">
        <v>2258</v>
      </c>
      <c r="I88" s="51">
        <v>2420</v>
      </c>
    </row>
    <row r="89" spans="1:9" x14ac:dyDescent="0.35">
      <c r="A89" s="27" t="s">
        <v>73</v>
      </c>
      <c r="B89" s="27" t="s">
        <v>45</v>
      </c>
      <c r="D89" s="51">
        <v>1695</v>
      </c>
      <c r="E89" s="51">
        <v>1742</v>
      </c>
      <c r="F89" s="51">
        <v>1701</v>
      </c>
      <c r="G89" s="51">
        <v>1811</v>
      </c>
      <c r="H89" s="51">
        <v>1740</v>
      </c>
      <c r="I89" s="51">
        <v>1869</v>
      </c>
    </row>
    <row r="90" spans="1:9" x14ac:dyDescent="0.35">
      <c r="A90" s="27" t="s">
        <v>73</v>
      </c>
      <c r="B90" s="27" t="s">
        <v>87</v>
      </c>
      <c r="D90" s="52">
        <v>9.58</v>
      </c>
      <c r="E90" s="52">
        <v>9.84</v>
      </c>
      <c r="F90" s="52">
        <v>9.64</v>
      </c>
      <c r="G90" s="52">
        <v>10.4</v>
      </c>
      <c r="H90" s="52">
        <v>9.9700000000000006</v>
      </c>
      <c r="I90" s="52">
        <v>10.68</v>
      </c>
    </row>
    <row r="91" spans="1:9" x14ac:dyDescent="0.35">
      <c r="A91" s="27" t="s">
        <v>73</v>
      </c>
      <c r="B91" s="27" t="s">
        <v>88</v>
      </c>
      <c r="D91" s="53">
        <v>0.5</v>
      </c>
      <c r="E91" s="53">
        <v>0.53</v>
      </c>
      <c r="F91" s="53">
        <v>0.54</v>
      </c>
      <c r="G91" s="53">
        <v>0.53</v>
      </c>
      <c r="H91" s="53">
        <v>0.8</v>
      </c>
      <c r="I91" s="53">
        <v>0.77</v>
      </c>
    </row>
    <row r="92" spans="1:9" x14ac:dyDescent="0.35">
      <c r="A92" s="48" t="s">
        <v>73</v>
      </c>
      <c r="B92" s="49" t="s">
        <v>89</v>
      </c>
      <c r="C92" s="50"/>
      <c r="D92" s="50"/>
      <c r="E92" s="50"/>
      <c r="F92" s="50"/>
      <c r="G92" s="50"/>
      <c r="H92" s="50"/>
      <c r="I92" s="50"/>
    </row>
    <row r="93" spans="1:9" x14ac:dyDescent="0.35">
      <c r="A93" s="27" t="s">
        <v>73</v>
      </c>
      <c r="B93" s="27" t="s">
        <v>90</v>
      </c>
      <c r="D93" s="51">
        <v>177</v>
      </c>
      <c r="E93" s="51">
        <v>177</v>
      </c>
      <c r="F93" s="51">
        <v>177</v>
      </c>
      <c r="G93" s="51">
        <v>177</v>
      </c>
      <c r="H93" s="51">
        <v>177</v>
      </c>
      <c r="I93" s="51">
        <v>177</v>
      </c>
    </row>
    <row r="94" spans="1:9" x14ac:dyDescent="0.35">
      <c r="A94" s="27" t="s">
        <v>73</v>
      </c>
      <c r="B94" s="27" t="s">
        <v>91</v>
      </c>
      <c r="D94" s="51">
        <v>7487</v>
      </c>
      <c r="E94" s="51">
        <v>8205</v>
      </c>
      <c r="F94" s="51">
        <v>8796</v>
      </c>
      <c r="G94" s="51">
        <v>9689</v>
      </c>
      <c r="H94" s="51">
        <v>10623</v>
      </c>
      <c r="I94" s="51">
        <v>11242</v>
      </c>
    </row>
    <row r="95" spans="1:9" x14ac:dyDescent="0.35">
      <c r="A95" s="27" t="s">
        <v>73</v>
      </c>
      <c r="B95" s="27" t="s">
        <v>92</v>
      </c>
      <c r="D95" s="51">
        <v>509</v>
      </c>
      <c r="E95" s="51">
        <v>1030</v>
      </c>
      <c r="F95" s="51">
        <v>1174</v>
      </c>
      <c r="G95" s="51">
        <v>1365</v>
      </c>
      <c r="H95" s="51">
        <v>950</v>
      </c>
      <c r="I95" s="51">
        <v>1287</v>
      </c>
    </row>
    <row r="96" spans="1:9" x14ac:dyDescent="0.35">
      <c r="A96" s="27" t="s">
        <v>73</v>
      </c>
      <c r="B96" s="27" t="s">
        <v>93</v>
      </c>
      <c r="D96" s="51">
        <v>2661</v>
      </c>
      <c r="E96" s="51">
        <v>2872</v>
      </c>
      <c r="F96" s="51">
        <v>3505</v>
      </c>
      <c r="G96" s="51">
        <v>3885</v>
      </c>
      <c r="H96" s="51">
        <v>4479</v>
      </c>
      <c r="I96" s="51">
        <v>4773</v>
      </c>
    </row>
    <row r="97" spans="1:9" x14ac:dyDescent="0.35">
      <c r="A97" s="27" t="s">
        <v>73</v>
      </c>
      <c r="B97" s="27" t="s">
        <v>94</v>
      </c>
      <c r="D97" s="51">
        <v>10833</v>
      </c>
      <c r="E97" s="51">
        <v>12284</v>
      </c>
      <c r="F97" s="51">
        <v>13652</v>
      </c>
      <c r="G97" s="51">
        <v>15116</v>
      </c>
      <c r="H97" s="51">
        <v>16230</v>
      </c>
      <c r="I97" s="51">
        <v>17480</v>
      </c>
    </row>
    <row r="98" spans="1:9" x14ac:dyDescent="0.35">
      <c r="A98" s="27" t="s">
        <v>73</v>
      </c>
      <c r="B98" s="27" t="s">
        <v>95</v>
      </c>
      <c r="D98" s="51">
        <v>2243</v>
      </c>
      <c r="E98" s="51">
        <v>2308</v>
      </c>
      <c r="F98" s="51">
        <v>3579</v>
      </c>
      <c r="G98" s="51">
        <v>3815</v>
      </c>
      <c r="H98" s="51">
        <v>3990</v>
      </c>
      <c r="I98" s="51">
        <v>3938</v>
      </c>
    </row>
    <row r="99" spans="1:9" x14ac:dyDescent="0.35">
      <c r="A99" s="27" t="s">
        <v>73</v>
      </c>
      <c r="B99" s="27" t="s">
        <v>96</v>
      </c>
      <c r="D99" s="51">
        <v>147</v>
      </c>
      <c r="E99" s="51">
        <v>168</v>
      </c>
      <c r="F99" s="51">
        <v>175</v>
      </c>
      <c r="G99" s="51">
        <v>232</v>
      </c>
      <c r="H99" s="51">
        <v>169</v>
      </c>
      <c r="I99" s="51">
        <v>139</v>
      </c>
    </row>
    <row r="100" spans="1:9" x14ac:dyDescent="0.35">
      <c r="A100" s="27" t="s">
        <v>73</v>
      </c>
      <c r="B100" s="27" t="s">
        <v>97</v>
      </c>
      <c r="D100" s="51">
        <v>4160</v>
      </c>
      <c r="E100" s="51">
        <v>6220</v>
      </c>
      <c r="F100" s="51">
        <v>6265</v>
      </c>
      <c r="G100" s="51">
        <v>6933</v>
      </c>
      <c r="H100" s="51">
        <v>7468</v>
      </c>
      <c r="I100" s="51">
        <v>8947</v>
      </c>
    </row>
    <row r="101" spans="1:9" x14ac:dyDescent="0.35">
      <c r="A101" s="27" t="s">
        <v>73</v>
      </c>
      <c r="B101" s="27" t="s">
        <v>98</v>
      </c>
      <c r="D101" s="51">
        <v>4283</v>
      </c>
      <c r="E101" s="51">
        <v>3589</v>
      </c>
      <c r="F101" s="51">
        <v>3633</v>
      </c>
      <c r="G101" s="51">
        <v>4136</v>
      </c>
      <c r="H101" s="51">
        <v>4603</v>
      </c>
      <c r="I101" s="51">
        <v>4456</v>
      </c>
    </row>
    <row r="102" spans="1:9" x14ac:dyDescent="0.35">
      <c r="A102" s="27" t="s">
        <v>73</v>
      </c>
      <c r="B102" s="27" t="s">
        <v>99</v>
      </c>
      <c r="D102" s="54">
        <f t="shared" ref="D102:I102" si="10">D98+D99+D100+D101</f>
        <v>10833</v>
      </c>
      <c r="E102" s="54">
        <f t="shared" si="10"/>
        <v>12285</v>
      </c>
      <c r="F102" s="54">
        <f t="shared" si="10"/>
        <v>13652</v>
      </c>
      <c r="G102" s="54">
        <f t="shared" si="10"/>
        <v>15116</v>
      </c>
      <c r="H102" s="54">
        <f t="shared" si="10"/>
        <v>16230</v>
      </c>
      <c r="I102" s="54">
        <f t="shared" si="10"/>
        <v>17480</v>
      </c>
    </row>
    <row r="103" spans="1:9" x14ac:dyDescent="0.35">
      <c r="A103" s="48" t="s">
        <v>73</v>
      </c>
      <c r="B103" s="49" t="s">
        <v>100</v>
      </c>
      <c r="C103" s="50"/>
      <c r="D103" s="50"/>
      <c r="E103" s="50"/>
      <c r="F103" s="50"/>
      <c r="G103" s="50"/>
      <c r="H103" s="50"/>
      <c r="I103" s="50"/>
    </row>
    <row r="104" spans="1:9" x14ac:dyDescent="0.35">
      <c r="A104" s="27" t="s">
        <v>73</v>
      </c>
      <c r="B104" s="27" t="s">
        <v>101</v>
      </c>
      <c r="D104" s="51">
        <v>2115</v>
      </c>
      <c r="E104" s="51">
        <v>1802</v>
      </c>
      <c r="F104" s="51">
        <v>1488</v>
      </c>
      <c r="G104" s="51">
        <v>2013</v>
      </c>
      <c r="H104" s="51">
        <v>1987</v>
      </c>
      <c r="I104" s="51">
        <v>2579</v>
      </c>
    </row>
    <row r="105" spans="1:9" x14ac:dyDescent="0.35">
      <c r="A105" s="27" t="s">
        <v>73</v>
      </c>
      <c r="B105" s="27" t="s">
        <v>102</v>
      </c>
      <c r="D105" s="51">
        <v>-1404</v>
      </c>
      <c r="E105" s="51">
        <v>-1273</v>
      </c>
      <c r="F105" s="51">
        <v>-583</v>
      </c>
      <c r="G105" s="51">
        <v>-971</v>
      </c>
      <c r="H105" s="51">
        <v>-448</v>
      </c>
      <c r="I105" s="51">
        <v>-1279</v>
      </c>
    </row>
    <row r="106" spans="1:9" x14ac:dyDescent="0.35">
      <c r="A106" s="27" t="s">
        <v>73</v>
      </c>
      <c r="B106" s="27" t="s">
        <v>103</v>
      </c>
      <c r="D106" s="51">
        <v>-613</v>
      </c>
      <c r="E106" s="51">
        <v>-490</v>
      </c>
      <c r="F106" s="51">
        <v>-1035</v>
      </c>
      <c r="G106" s="51">
        <v>-1161</v>
      </c>
      <c r="H106" s="51">
        <v>-1405</v>
      </c>
      <c r="I106" s="51">
        <v>-1236</v>
      </c>
    </row>
    <row r="107" spans="1:9" x14ac:dyDescent="0.35">
      <c r="A107" s="27" t="s">
        <v>73</v>
      </c>
      <c r="B107" s="27" t="s">
        <v>104</v>
      </c>
      <c r="D107" s="51">
        <v>1808</v>
      </c>
      <c r="E107" s="51">
        <v>1433</v>
      </c>
      <c r="F107" s="51">
        <v>1003</v>
      </c>
      <c r="G107" s="51">
        <v>1453</v>
      </c>
      <c r="H107" s="51">
        <v>1448</v>
      </c>
      <c r="I107" s="51">
        <v>2180</v>
      </c>
    </row>
    <row r="108" spans="1:9" x14ac:dyDescent="0.35">
      <c r="A108" s="48" t="s">
        <v>73</v>
      </c>
      <c r="B108" s="49" t="s">
        <v>105</v>
      </c>
      <c r="C108" s="50"/>
      <c r="D108" s="50"/>
      <c r="E108" s="50"/>
      <c r="F108" s="50"/>
      <c r="G108" s="50"/>
      <c r="H108" s="50"/>
      <c r="I108" s="50"/>
    </row>
    <row r="109" spans="1:9" x14ac:dyDescent="0.35">
      <c r="A109" s="27" t="s">
        <v>73</v>
      </c>
      <c r="B109" s="27" t="s">
        <v>106</v>
      </c>
      <c r="D109" s="55">
        <v>21</v>
      </c>
      <c r="E109" s="55">
        <v>22</v>
      </c>
      <c r="F109" s="55">
        <v>27</v>
      </c>
      <c r="G109" s="55">
        <v>26</v>
      </c>
      <c r="H109" s="55">
        <v>26</v>
      </c>
      <c r="I109" s="55">
        <v>20</v>
      </c>
    </row>
    <row r="110" spans="1:9" x14ac:dyDescent="0.35">
      <c r="A110" s="27" t="s">
        <v>73</v>
      </c>
      <c r="B110" s="27" t="s">
        <v>107</v>
      </c>
      <c r="D110" s="55">
        <v>178</v>
      </c>
      <c r="E110" s="55">
        <v>169</v>
      </c>
      <c r="F110" s="55">
        <v>158</v>
      </c>
      <c r="G110" s="55">
        <v>149</v>
      </c>
      <c r="H110" s="55">
        <v>175</v>
      </c>
      <c r="I110" s="55">
        <v>166</v>
      </c>
    </row>
    <row r="111" spans="1:9" x14ac:dyDescent="0.35">
      <c r="A111" s="27" t="s">
        <v>73</v>
      </c>
      <c r="B111" s="27" t="s">
        <v>108</v>
      </c>
      <c r="D111" s="55">
        <v>197</v>
      </c>
      <c r="E111" s="55">
        <v>178</v>
      </c>
      <c r="F111" s="55">
        <v>171</v>
      </c>
      <c r="G111" s="55">
        <v>186</v>
      </c>
      <c r="H111" s="55">
        <v>215</v>
      </c>
      <c r="I111" s="55">
        <v>212</v>
      </c>
    </row>
    <row r="112" spans="1:9" x14ac:dyDescent="0.35">
      <c r="A112" s="48" t="s">
        <v>73</v>
      </c>
      <c r="B112" s="49" t="s">
        <v>109</v>
      </c>
      <c r="C112" s="50"/>
      <c r="D112" s="50"/>
      <c r="E112" s="50"/>
      <c r="F112" s="50"/>
      <c r="G112" s="50"/>
      <c r="H112" s="50"/>
      <c r="I112" s="50"/>
    </row>
    <row r="113" spans="1:9" x14ac:dyDescent="0.35">
      <c r="A113" s="27" t="s">
        <v>73</v>
      </c>
      <c r="B113" s="27" t="s">
        <v>110</v>
      </c>
      <c r="D113" s="54">
        <f t="shared" ref="D113:I113" si="11">D93+D94</f>
        <v>7664</v>
      </c>
      <c r="E113" s="54">
        <f t="shared" si="11"/>
        <v>8382</v>
      </c>
      <c r="F113" s="54">
        <f t="shared" si="11"/>
        <v>8973</v>
      </c>
      <c r="G113" s="54">
        <f t="shared" si="11"/>
        <v>9866</v>
      </c>
      <c r="H113" s="54">
        <f t="shared" si="11"/>
        <v>10800</v>
      </c>
      <c r="I113" s="54">
        <f t="shared" si="11"/>
        <v>11419</v>
      </c>
    </row>
    <row r="114" spans="1:9" x14ac:dyDescent="0.35">
      <c r="A114" s="27" t="s">
        <v>73</v>
      </c>
      <c r="B114" s="27" t="s">
        <v>111</v>
      </c>
      <c r="D114" s="54">
        <f t="shared" ref="D114:I114" si="12">D88+D86</f>
        <v>2087</v>
      </c>
      <c r="E114" s="54">
        <f t="shared" si="12"/>
        <v>2308</v>
      </c>
      <c r="F114" s="54">
        <f t="shared" si="12"/>
        <v>2297</v>
      </c>
      <c r="G114" s="54">
        <f t="shared" si="12"/>
        <v>2483</v>
      </c>
      <c r="H114" s="54">
        <f t="shared" si="12"/>
        <v>2422</v>
      </c>
      <c r="I114" s="54">
        <f t="shared" si="12"/>
        <v>2565</v>
      </c>
    </row>
    <row r="115" spans="1:9" x14ac:dyDescent="0.35">
      <c r="A115" s="27" t="s">
        <v>73</v>
      </c>
      <c r="B115" s="27" t="s">
        <v>112</v>
      </c>
      <c r="D115" s="54">
        <f t="shared" ref="D115:I115" si="13">D113+D95</f>
        <v>8173</v>
      </c>
      <c r="E115" s="54">
        <f t="shared" si="13"/>
        <v>9412</v>
      </c>
      <c r="F115" s="54">
        <f t="shared" si="13"/>
        <v>10147</v>
      </c>
      <c r="G115" s="54">
        <f t="shared" si="13"/>
        <v>11231</v>
      </c>
      <c r="H115" s="54">
        <f t="shared" si="13"/>
        <v>11750</v>
      </c>
      <c r="I115" s="54">
        <f t="shared" si="13"/>
        <v>12706</v>
      </c>
    </row>
    <row r="116" spans="1:9" x14ac:dyDescent="0.35">
      <c r="A116" s="27" t="s">
        <v>73</v>
      </c>
      <c r="B116" s="27" t="s">
        <v>113</v>
      </c>
      <c r="D116" s="54">
        <f t="shared" ref="D116:I116" si="14">D102-D97</f>
        <v>0</v>
      </c>
      <c r="E116" s="54">
        <f t="shared" si="14"/>
        <v>1</v>
      </c>
      <c r="F116" s="54">
        <f t="shared" si="14"/>
        <v>0</v>
      </c>
      <c r="G116" s="54">
        <f t="shared" si="14"/>
        <v>0</v>
      </c>
      <c r="H116" s="54">
        <f t="shared" si="14"/>
        <v>0</v>
      </c>
      <c r="I116" s="54">
        <f t="shared" si="14"/>
        <v>0</v>
      </c>
    </row>
    <row r="118" spans="1:9" x14ac:dyDescent="0.35">
      <c r="A118" s="23" t="s">
        <v>40</v>
      </c>
      <c r="B118" s="23" t="s">
        <v>78</v>
      </c>
      <c r="C118" s="23"/>
      <c r="D118" s="24" t="s">
        <v>79</v>
      </c>
      <c r="E118" s="24" t="s">
        <v>51</v>
      </c>
      <c r="F118" s="24" t="s">
        <v>52</v>
      </c>
      <c r="G118" s="24" t="s">
        <v>53</v>
      </c>
      <c r="H118" s="24" t="s">
        <v>54</v>
      </c>
      <c r="I118" s="24" t="s">
        <v>42</v>
      </c>
    </row>
    <row r="119" spans="1:9" x14ac:dyDescent="0.35">
      <c r="A119" s="48" t="s">
        <v>40</v>
      </c>
      <c r="B119" s="49" t="s">
        <v>80</v>
      </c>
      <c r="C119" s="50"/>
      <c r="D119" s="50"/>
      <c r="E119" s="50"/>
      <c r="F119" s="50"/>
      <c r="G119" s="50"/>
      <c r="H119" s="50"/>
      <c r="I119" s="50"/>
    </row>
    <row r="120" spans="1:9" x14ac:dyDescent="0.35">
      <c r="A120" s="27" t="s">
        <v>40</v>
      </c>
      <c r="B120" s="27" t="s">
        <v>44</v>
      </c>
      <c r="D120" s="51">
        <v>13136</v>
      </c>
      <c r="E120" s="51">
        <v>14136</v>
      </c>
      <c r="F120" s="51">
        <v>16301</v>
      </c>
      <c r="G120" s="51">
        <v>16769</v>
      </c>
      <c r="H120" s="51">
        <v>17943</v>
      </c>
      <c r="I120" s="51">
        <v>19152</v>
      </c>
    </row>
    <row r="121" spans="1:9" x14ac:dyDescent="0.35">
      <c r="A121" s="27" t="s">
        <v>40</v>
      </c>
      <c r="B121" s="27" t="s">
        <v>81</v>
      </c>
      <c r="D121" s="51">
        <v>10627</v>
      </c>
      <c r="E121" s="51">
        <v>11935</v>
      </c>
      <c r="F121" s="51">
        <v>13470</v>
      </c>
      <c r="G121" s="51">
        <v>13603</v>
      </c>
      <c r="H121" s="51">
        <v>14766</v>
      </c>
      <c r="I121" s="51">
        <v>15637</v>
      </c>
    </row>
    <row r="122" spans="1:9" x14ac:dyDescent="0.35">
      <c r="A122" s="27" t="s">
        <v>40</v>
      </c>
      <c r="B122" s="27" t="s">
        <v>82</v>
      </c>
      <c r="D122" s="51">
        <v>2509</v>
      </c>
      <c r="E122" s="51">
        <v>2201</v>
      </c>
      <c r="F122" s="51">
        <v>2831</v>
      </c>
      <c r="G122" s="51">
        <v>3167</v>
      </c>
      <c r="H122" s="51">
        <v>3176</v>
      </c>
      <c r="I122" s="51">
        <v>3514</v>
      </c>
    </row>
    <row r="123" spans="1:9" x14ac:dyDescent="0.35">
      <c r="A123" s="27" t="s">
        <v>40</v>
      </c>
      <c r="B123" s="27" t="s">
        <v>83</v>
      </c>
      <c r="D123" s="51">
        <v>313</v>
      </c>
      <c r="E123" s="51">
        <v>222</v>
      </c>
      <c r="F123" s="51">
        <v>597</v>
      </c>
      <c r="G123" s="51">
        <v>211</v>
      </c>
      <c r="H123" s="51">
        <v>202</v>
      </c>
      <c r="I123" s="51">
        <v>224</v>
      </c>
    </row>
    <row r="124" spans="1:9" x14ac:dyDescent="0.35">
      <c r="A124" s="27" t="s">
        <v>40</v>
      </c>
      <c r="B124" s="27" t="s">
        <v>84</v>
      </c>
      <c r="D124" s="51">
        <v>111</v>
      </c>
      <c r="E124" s="51">
        <v>144</v>
      </c>
      <c r="F124" s="51">
        <v>169</v>
      </c>
      <c r="G124" s="51">
        <v>164</v>
      </c>
      <c r="H124" s="51">
        <v>139</v>
      </c>
      <c r="I124" s="51">
        <v>113</v>
      </c>
    </row>
    <row r="125" spans="1:9" x14ac:dyDescent="0.35">
      <c r="A125" s="27" t="s">
        <v>40</v>
      </c>
      <c r="B125" s="27" t="s">
        <v>85</v>
      </c>
      <c r="D125" s="51">
        <v>198</v>
      </c>
      <c r="E125" s="51">
        <v>201</v>
      </c>
      <c r="F125" s="51">
        <v>226</v>
      </c>
      <c r="G125" s="51">
        <v>300</v>
      </c>
      <c r="H125" s="51">
        <v>313</v>
      </c>
      <c r="I125" s="51">
        <v>337</v>
      </c>
    </row>
    <row r="126" spans="1:9" x14ac:dyDescent="0.35">
      <c r="A126" s="27" t="s">
        <v>40</v>
      </c>
      <c r="B126" s="27" t="s">
        <v>86</v>
      </c>
      <c r="D126" s="51">
        <v>2514</v>
      </c>
      <c r="E126" s="51">
        <v>2078</v>
      </c>
      <c r="F126" s="51">
        <v>3033</v>
      </c>
      <c r="G126" s="51">
        <v>2913</v>
      </c>
      <c r="H126" s="51">
        <v>2927</v>
      </c>
      <c r="I126" s="51">
        <v>3289</v>
      </c>
    </row>
    <row r="127" spans="1:9" x14ac:dyDescent="0.35">
      <c r="A127" s="27" t="s">
        <v>40</v>
      </c>
      <c r="B127" s="27" t="s">
        <v>45</v>
      </c>
      <c r="D127" s="51">
        <v>1851</v>
      </c>
      <c r="E127" s="51">
        <v>1516</v>
      </c>
      <c r="F127" s="51">
        <v>2316</v>
      </c>
      <c r="G127" s="51">
        <v>2134</v>
      </c>
      <c r="H127" s="51">
        <v>2178</v>
      </c>
      <c r="I127" s="51">
        <v>2537</v>
      </c>
    </row>
    <row r="128" spans="1:9" x14ac:dyDescent="0.35">
      <c r="A128" s="27" t="s">
        <v>40</v>
      </c>
      <c r="B128" s="27" t="s">
        <v>87</v>
      </c>
      <c r="D128" s="52">
        <v>77.38</v>
      </c>
      <c r="E128" s="52">
        <v>63.31</v>
      </c>
      <c r="F128" s="52">
        <v>96.39</v>
      </c>
      <c r="G128" s="52">
        <v>88.84</v>
      </c>
      <c r="H128" s="52">
        <v>90.45</v>
      </c>
      <c r="I128" s="52">
        <v>105.18</v>
      </c>
    </row>
    <row r="129" spans="1:9" x14ac:dyDescent="0.35">
      <c r="A129" s="27" t="s">
        <v>40</v>
      </c>
      <c r="B129" s="27" t="s">
        <v>88</v>
      </c>
      <c r="D129" s="53">
        <v>2.04</v>
      </c>
      <c r="E129" s="53">
        <v>0.89</v>
      </c>
      <c r="F129" s="53">
        <v>0.75</v>
      </c>
      <c r="G129" s="53">
        <v>0.83</v>
      </c>
      <c r="H129" s="53">
        <v>0.83</v>
      </c>
      <c r="I129" s="53">
        <v>0.86</v>
      </c>
    </row>
    <row r="130" spans="1:9" x14ac:dyDescent="0.35">
      <c r="A130" s="48" t="s">
        <v>40</v>
      </c>
      <c r="B130" s="49" t="s">
        <v>89</v>
      </c>
      <c r="C130" s="50"/>
      <c r="D130" s="50"/>
      <c r="E130" s="50"/>
      <c r="F130" s="50"/>
      <c r="G130" s="50"/>
      <c r="H130" s="50"/>
      <c r="I130" s="50"/>
    </row>
    <row r="131" spans="1:9" x14ac:dyDescent="0.35">
      <c r="A131" s="27" t="s">
        <v>40</v>
      </c>
      <c r="B131" s="27" t="s">
        <v>90</v>
      </c>
      <c r="D131" s="51">
        <v>24</v>
      </c>
      <c r="E131" s="51">
        <v>24</v>
      </c>
      <c r="F131" s="51">
        <v>24</v>
      </c>
      <c r="G131" s="51">
        <v>24</v>
      </c>
      <c r="H131" s="51">
        <v>24</v>
      </c>
      <c r="I131" s="51">
        <v>24</v>
      </c>
    </row>
    <row r="132" spans="1:9" x14ac:dyDescent="0.35">
      <c r="A132" s="27" t="s">
        <v>40</v>
      </c>
      <c r="B132" s="27" t="s">
        <v>91</v>
      </c>
      <c r="D132" s="51">
        <v>3524</v>
      </c>
      <c r="E132" s="51">
        <v>2534</v>
      </c>
      <c r="F132" s="51">
        <v>3510</v>
      </c>
      <c r="G132" s="51">
        <v>3917</v>
      </c>
      <c r="H132" s="51">
        <v>4332</v>
      </c>
      <c r="I132" s="51">
        <v>5082</v>
      </c>
    </row>
    <row r="133" spans="1:9" x14ac:dyDescent="0.35">
      <c r="A133" s="27" t="s">
        <v>40</v>
      </c>
      <c r="B133" s="27" t="s">
        <v>92</v>
      </c>
      <c r="D133" s="51">
        <v>2107</v>
      </c>
      <c r="E133" s="51">
        <v>2481</v>
      </c>
      <c r="F133" s="51">
        <v>2997</v>
      </c>
      <c r="G133" s="51">
        <v>2065</v>
      </c>
      <c r="H133" s="51">
        <v>1247</v>
      </c>
      <c r="I133" s="51">
        <v>1380</v>
      </c>
    </row>
    <row r="134" spans="1:9" x14ac:dyDescent="0.35">
      <c r="A134" s="27" t="s">
        <v>40</v>
      </c>
      <c r="B134" s="27" t="s">
        <v>93</v>
      </c>
      <c r="D134" s="51">
        <v>2345</v>
      </c>
      <c r="E134" s="51">
        <v>2487</v>
      </c>
      <c r="F134" s="51">
        <v>2819</v>
      </c>
      <c r="G134" s="51">
        <v>3065</v>
      </c>
      <c r="H134" s="51">
        <v>3235</v>
      </c>
      <c r="I134" s="51">
        <v>3243</v>
      </c>
    </row>
    <row r="135" spans="1:9" x14ac:dyDescent="0.35">
      <c r="A135" s="27" t="s">
        <v>40</v>
      </c>
      <c r="B135" s="27" t="s">
        <v>94</v>
      </c>
      <c r="D135" s="51">
        <v>8000</v>
      </c>
      <c r="E135" s="51">
        <v>7527</v>
      </c>
      <c r="F135" s="51">
        <v>9351</v>
      </c>
      <c r="G135" s="51">
        <v>9072</v>
      </c>
      <c r="H135" s="51">
        <v>8837</v>
      </c>
      <c r="I135" s="51">
        <v>9730</v>
      </c>
    </row>
    <row r="136" spans="1:9" x14ac:dyDescent="0.35">
      <c r="A136" s="27" t="s">
        <v>40</v>
      </c>
      <c r="B136" s="27" t="s">
        <v>95</v>
      </c>
      <c r="D136" s="51">
        <v>1793</v>
      </c>
      <c r="E136" s="51">
        <v>1753</v>
      </c>
      <c r="F136" s="51">
        <v>2655</v>
      </c>
      <c r="G136" s="51">
        <v>2771</v>
      </c>
      <c r="H136" s="51">
        <v>2904</v>
      </c>
      <c r="I136" s="51">
        <v>2850</v>
      </c>
    </row>
    <row r="137" spans="1:9" x14ac:dyDescent="0.35">
      <c r="A137" s="27" t="s">
        <v>40</v>
      </c>
      <c r="B137" s="27" t="s">
        <v>96</v>
      </c>
      <c r="D137" s="51">
        <v>117</v>
      </c>
      <c r="E137" s="51">
        <v>536</v>
      </c>
      <c r="F137" s="51">
        <v>105</v>
      </c>
      <c r="G137" s="51">
        <v>188</v>
      </c>
      <c r="H137" s="51">
        <v>89</v>
      </c>
      <c r="I137" s="51">
        <v>39</v>
      </c>
    </row>
    <row r="138" spans="1:9" x14ac:dyDescent="0.35">
      <c r="A138" s="27" t="s">
        <v>40</v>
      </c>
      <c r="B138" s="27" t="s">
        <v>97</v>
      </c>
      <c r="D138" s="51">
        <v>2781</v>
      </c>
      <c r="E138" s="51">
        <v>1762</v>
      </c>
      <c r="F138" s="51">
        <v>3324</v>
      </c>
      <c r="G138" s="51">
        <v>2767</v>
      </c>
      <c r="H138" s="51">
        <v>2865</v>
      </c>
      <c r="I138" s="51">
        <v>3610</v>
      </c>
    </row>
    <row r="139" spans="1:9" x14ac:dyDescent="0.35">
      <c r="A139" s="27" t="s">
        <v>40</v>
      </c>
      <c r="B139" s="27" t="s">
        <v>98</v>
      </c>
      <c r="D139" s="51">
        <v>3310</v>
      </c>
      <c r="E139" s="51">
        <v>3475</v>
      </c>
      <c r="F139" s="51">
        <v>3266</v>
      </c>
      <c r="G139" s="51">
        <v>3346</v>
      </c>
      <c r="H139" s="51">
        <v>2978</v>
      </c>
      <c r="I139" s="51">
        <v>3232</v>
      </c>
    </row>
    <row r="140" spans="1:9" x14ac:dyDescent="0.35">
      <c r="A140" s="27" t="s">
        <v>40</v>
      </c>
      <c r="B140" s="27" t="s">
        <v>99</v>
      </c>
      <c r="D140" s="54">
        <f t="shared" ref="D140:I140" si="15">D136+D137+D138+D139</f>
        <v>8001</v>
      </c>
      <c r="E140" s="54">
        <f t="shared" si="15"/>
        <v>7526</v>
      </c>
      <c r="F140" s="54">
        <f t="shared" si="15"/>
        <v>9350</v>
      </c>
      <c r="G140" s="54">
        <f t="shared" si="15"/>
        <v>9072</v>
      </c>
      <c r="H140" s="54">
        <f t="shared" si="15"/>
        <v>8836</v>
      </c>
      <c r="I140" s="54">
        <f t="shared" si="15"/>
        <v>9731</v>
      </c>
    </row>
    <row r="141" spans="1:9" x14ac:dyDescent="0.35">
      <c r="A141" s="48" t="s">
        <v>40</v>
      </c>
      <c r="B141" s="49" t="s">
        <v>100</v>
      </c>
      <c r="C141" s="50"/>
      <c r="D141" s="50"/>
      <c r="E141" s="50"/>
      <c r="F141" s="50"/>
      <c r="G141" s="50"/>
      <c r="H141" s="50"/>
      <c r="I141" s="50"/>
    </row>
    <row r="142" spans="1:9" x14ac:dyDescent="0.35">
      <c r="A142" s="27" t="s">
        <v>40</v>
      </c>
      <c r="B142" s="27" t="s">
        <v>101</v>
      </c>
      <c r="D142" s="51">
        <v>1851</v>
      </c>
      <c r="E142" s="51">
        <v>1300</v>
      </c>
      <c r="F142" s="51">
        <v>2526</v>
      </c>
      <c r="G142" s="51">
        <v>2573</v>
      </c>
      <c r="H142" s="51">
        <v>2491</v>
      </c>
      <c r="I142" s="51">
        <v>2612</v>
      </c>
    </row>
    <row r="143" spans="1:9" x14ac:dyDescent="0.35">
      <c r="A143" s="27" t="s">
        <v>40</v>
      </c>
      <c r="B143" s="27" t="s">
        <v>102</v>
      </c>
      <c r="D143" s="51">
        <v>459</v>
      </c>
      <c r="E143" s="51">
        <v>914</v>
      </c>
      <c r="F143" s="51">
        <v>-1507</v>
      </c>
      <c r="G143" s="51">
        <v>485</v>
      </c>
      <c r="H143" s="51">
        <v>69</v>
      </c>
      <c r="I143" s="51">
        <v>-741</v>
      </c>
    </row>
    <row r="144" spans="1:9" x14ac:dyDescent="0.35">
      <c r="A144" s="27" t="s">
        <v>40</v>
      </c>
      <c r="B144" s="27" t="s">
        <v>103</v>
      </c>
      <c r="D144" s="51">
        <v>-2244</v>
      </c>
      <c r="E144" s="51">
        <v>-2246</v>
      </c>
      <c r="F144" s="51">
        <v>-1028</v>
      </c>
      <c r="G144" s="51">
        <v>-2839</v>
      </c>
      <c r="H144" s="51">
        <v>-2754</v>
      </c>
      <c r="I144" s="51">
        <v>-1783</v>
      </c>
    </row>
    <row r="145" spans="1:9" x14ac:dyDescent="0.35">
      <c r="A145" s="27" t="s">
        <v>40</v>
      </c>
      <c r="B145" s="27" t="s">
        <v>104</v>
      </c>
      <c r="D145" s="51">
        <v>1611</v>
      </c>
      <c r="E145" s="51">
        <v>752</v>
      </c>
      <c r="F145" s="51">
        <v>1893</v>
      </c>
      <c r="G145" s="51">
        <v>2085</v>
      </c>
      <c r="H145" s="51">
        <v>2120</v>
      </c>
      <c r="I145" s="51">
        <v>2408</v>
      </c>
    </row>
    <row r="146" spans="1:9" x14ac:dyDescent="0.35">
      <c r="A146" s="48" t="s">
        <v>40</v>
      </c>
      <c r="B146" s="49" t="s">
        <v>105</v>
      </c>
      <c r="C146" s="50"/>
      <c r="D146" s="50"/>
      <c r="E146" s="50"/>
      <c r="F146" s="50"/>
      <c r="G146" s="50"/>
      <c r="H146" s="50"/>
      <c r="I146" s="50"/>
    </row>
    <row r="147" spans="1:9" x14ac:dyDescent="0.35">
      <c r="A147" s="27" t="s">
        <v>40</v>
      </c>
      <c r="B147" s="27" t="s">
        <v>106</v>
      </c>
      <c r="D147" s="55">
        <v>7</v>
      </c>
      <c r="E147" s="55">
        <v>9</v>
      </c>
      <c r="F147" s="55">
        <v>7</v>
      </c>
      <c r="G147" s="55">
        <v>9</v>
      </c>
      <c r="H147" s="55">
        <v>9</v>
      </c>
      <c r="I147" s="55">
        <v>9</v>
      </c>
    </row>
    <row r="148" spans="1:9" x14ac:dyDescent="0.35">
      <c r="A148" s="27" t="s">
        <v>40</v>
      </c>
      <c r="B148" s="27" t="s">
        <v>107</v>
      </c>
      <c r="D148" s="55">
        <v>52</v>
      </c>
      <c r="E148" s="55">
        <v>57</v>
      </c>
      <c r="F148" s="55">
        <v>45</v>
      </c>
      <c r="G148" s="55">
        <v>45</v>
      </c>
      <c r="H148" s="55">
        <v>43</v>
      </c>
      <c r="I148" s="55">
        <v>44</v>
      </c>
    </row>
    <row r="149" spans="1:9" x14ac:dyDescent="0.35">
      <c r="A149" s="27" t="s">
        <v>40</v>
      </c>
      <c r="B149" s="27" t="s">
        <v>108</v>
      </c>
      <c r="D149" s="55">
        <v>63</v>
      </c>
      <c r="E149" s="55">
        <v>55</v>
      </c>
      <c r="F149" s="55">
        <v>55</v>
      </c>
      <c r="G149" s="55">
        <v>63</v>
      </c>
      <c r="H149" s="55">
        <v>60</v>
      </c>
      <c r="I149" s="55">
        <v>62</v>
      </c>
    </row>
    <row r="150" spans="1:9" x14ac:dyDescent="0.35">
      <c r="A150" s="48" t="s">
        <v>40</v>
      </c>
      <c r="B150" s="49" t="s">
        <v>109</v>
      </c>
      <c r="C150" s="50"/>
      <c r="D150" s="50"/>
      <c r="E150" s="50"/>
      <c r="F150" s="50"/>
      <c r="G150" s="50"/>
      <c r="H150" s="50"/>
      <c r="I150" s="50"/>
    </row>
    <row r="151" spans="1:9" x14ac:dyDescent="0.35">
      <c r="A151" s="27" t="s">
        <v>40</v>
      </c>
      <c r="B151" s="27" t="s">
        <v>110</v>
      </c>
      <c r="D151" s="54">
        <f t="shared" ref="D151:I151" si="16">D131+D132</f>
        <v>3548</v>
      </c>
      <c r="E151" s="54">
        <f t="shared" si="16"/>
        <v>2558</v>
      </c>
      <c r="F151" s="54">
        <f t="shared" si="16"/>
        <v>3534</v>
      </c>
      <c r="G151" s="54">
        <f t="shared" si="16"/>
        <v>3941</v>
      </c>
      <c r="H151" s="54">
        <f t="shared" si="16"/>
        <v>4356</v>
      </c>
      <c r="I151" s="54">
        <f t="shared" si="16"/>
        <v>5106</v>
      </c>
    </row>
    <row r="152" spans="1:9" x14ac:dyDescent="0.35">
      <c r="A152" s="27" t="s">
        <v>40</v>
      </c>
      <c r="B152" s="27" t="s">
        <v>111</v>
      </c>
      <c r="D152" s="54">
        <f t="shared" ref="D152:I152" si="17">D126+D124</f>
        <v>2625</v>
      </c>
      <c r="E152" s="54">
        <f t="shared" si="17"/>
        <v>2222</v>
      </c>
      <c r="F152" s="54">
        <f t="shared" si="17"/>
        <v>3202</v>
      </c>
      <c r="G152" s="54">
        <f t="shared" si="17"/>
        <v>3077</v>
      </c>
      <c r="H152" s="54">
        <f t="shared" si="17"/>
        <v>3066</v>
      </c>
      <c r="I152" s="54">
        <f t="shared" si="17"/>
        <v>3402</v>
      </c>
    </row>
    <row r="153" spans="1:9" x14ac:dyDescent="0.35">
      <c r="A153" s="27" t="s">
        <v>40</v>
      </c>
      <c r="B153" s="27" t="s">
        <v>112</v>
      </c>
      <c r="D153" s="54">
        <f t="shared" ref="D153:I153" si="18">D151+D133</f>
        <v>5655</v>
      </c>
      <c r="E153" s="54">
        <f t="shared" si="18"/>
        <v>5039</v>
      </c>
      <c r="F153" s="54">
        <f t="shared" si="18"/>
        <v>6531</v>
      </c>
      <c r="G153" s="54">
        <f t="shared" si="18"/>
        <v>6006</v>
      </c>
      <c r="H153" s="54">
        <f t="shared" si="18"/>
        <v>5603</v>
      </c>
      <c r="I153" s="54">
        <f t="shared" si="18"/>
        <v>6486</v>
      </c>
    </row>
    <row r="154" spans="1:9" x14ac:dyDescent="0.35">
      <c r="A154" s="27" t="s">
        <v>40</v>
      </c>
      <c r="B154" s="27" t="s">
        <v>113</v>
      </c>
      <c r="D154" s="54">
        <f t="shared" ref="D154:I154" si="19">D140-D135</f>
        <v>1</v>
      </c>
      <c r="E154" s="54">
        <f t="shared" si="19"/>
        <v>-1</v>
      </c>
      <c r="F154" s="54">
        <f t="shared" si="19"/>
        <v>-1</v>
      </c>
      <c r="G154" s="54">
        <f t="shared" si="19"/>
        <v>0</v>
      </c>
      <c r="H154" s="54">
        <f t="shared" si="19"/>
        <v>-1</v>
      </c>
      <c r="I154" s="54">
        <f t="shared" si="19"/>
        <v>1</v>
      </c>
    </row>
    <row r="156" spans="1:9" x14ac:dyDescent="0.35">
      <c r="A156" s="23" t="s">
        <v>74</v>
      </c>
      <c r="B156" s="23" t="s">
        <v>78</v>
      </c>
      <c r="C156" s="23"/>
      <c r="D156" s="24" t="s">
        <v>79</v>
      </c>
      <c r="E156" s="24" t="s">
        <v>51</v>
      </c>
      <c r="F156" s="24" t="s">
        <v>52</v>
      </c>
      <c r="G156" s="24" t="s">
        <v>53</v>
      </c>
      <c r="H156" s="24" t="s">
        <v>54</v>
      </c>
      <c r="I156" s="24" t="s">
        <v>42</v>
      </c>
    </row>
    <row r="157" spans="1:9" x14ac:dyDescent="0.35">
      <c r="A157" s="48" t="s">
        <v>74</v>
      </c>
      <c r="B157" s="49" t="s">
        <v>80</v>
      </c>
      <c r="C157" s="50"/>
      <c r="D157" s="50"/>
      <c r="E157" s="50"/>
      <c r="F157" s="50"/>
      <c r="G157" s="50"/>
      <c r="H157" s="50"/>
      <c r="I157" s="50"/>
    </row>
    <row r="158" spans="1:9" x14ac:dyDescent="0.35">
      <c r="A158" s="27" t="s">
        <v>74</v>
      </c>
      <c r="B158" s="27" t="s">
        <v>44</v>
      </c>
      <c r="D158" s="51">
        <v>8048</v>
      </c>
      <c r="E158" s="51">
        <v>9512</v>
      </c>
      <c r="F158" s="51">
        <v>9764</v>
      </c>
      <c r="G158" s="51">
        <v>9653</v>
      </c>
      <c r="H158" s="51">
        <v>10831</v>
      </c>
      <c r="I158" s="51">
        <v>13611</v>
      </c>
    </row>
    <row r="159" spans="1:9" x14ac:dyDescent="0.35">
      <c r="A159" s="27" t="s">
        <v>74</v>
      </c>
      <c r="B159" s="27" t="s">
        <v>81</v>
      </c>
      <c r="D159" s="51">
        <v>6459</v>
      </c>
      <c r="E159" s="51">
        <v>7831</v>
      </c>
      <c r="F159" s="51">
        <v>7954</v>
      </c>
      <c r="G159" s="51">
        <v>7627</v>
      </c>
      <c r="H159" s="51">
        <v>8692</v>
      </c>
      <c r="I159" s="51">
        <v>11283</v>
      </c>
    </row>
    <row r="160" spans="1:9" x14ac:dyDescent="0.35">
      <c r="A160" s="27" t="s">
        <v>74</v>
      </c>
      <c r="B160" s="27" t="s">
        <v>82</v>
      </c>
      <c r="D160" s="51">
        <v>1589</v>
      </c>
      <c r="E160" s="51">
        <v>1681</v>
      </c>
      <c r="F160" s="51">
        <v>1810</v>
      </c>
      <c r="G160" s="51">
        <v>2026</v>
      </c>
      <c r="H160" s="51">
        <v>2139</v>
      </c>
      <c r="I160" s="51">
        <v>2328</v>
      </c>
    </row>
    <row r="161" spans="1:9" x14ac:dyDescent="0.35">
      <c r="A161" s="27" t="s">
        <v>74</v>
      </c>
      <c r="B161" s="27" t="s">
        <v>83</v>
      </c>
      <c r="D161" s="51">
        <v>107</v>
      </c>
      <c r="E161" s="51">
        <v>98</v>
      </c>
      <c r="F161" s="51">
        <v>144</v>
      </c>
      <c r="G161" s="51">
        <v>142</v>
      </c>
      <c r="H161" s="51">
        <v>208</v>
      </c>
      <c r="I161" s="51">
        <v>204</v>
      </c>
    </row>
    <row r="162" spans="1:9" x14ac:dyDescent="0.35">
      <c r="A162" s="27" t="s">
        <v>74</v>
      </c>
      <c r="B162" s="27" t="s">
        <v>84</v>
      </c>
      <c r="D162" s="51">
        <v>34</v>
      </c>
      <c r="E162" s="51">
        <v>39</v>
      </c>
      <c r="F162" s="51">
        <v>56</v>
      </c>
      <c r="G162" s="51">
        <v>73</v>
      </c>
      <c r="H162" s="51">
        <v>53</v>
      </c>
      <c r="I162" s="51">
        <v>53</v>
      </c>
    </row>
    <row r="163" spans="1:9" x14ac:dyDescent="0.35">
      <c r="A163" s="27" t="s">
        <v>74</v>
      </c>
      <c r="B163" s="27" t="s">
        <v>85</v>
      </c>
      <c r="D163" s="51">
        <v>139</v>
      </c>
      <c r="E163" s="51">
        <v>139</v>
      </c>
      <c r="F163" s="51">
        <v>155</v>
      </c>
      <c r="G163" s="51">
        <v>158</v>
      </c>
      <c r="H163" s="51">
        <v>178</v>
      </c>
      <c r="I163" s="51">
        <v>202</v>
      </c>
    </row>
    <row r="164" spans="1:9" x14ac:dyDescent="0.35">
      <c r="A164" s="27" t="s">
        <v>74</v>
      </c>
      <c r="B164" s="27" t="s">
        <v>86</v>
      </c>
      <c r="D164" s="51">
        <v>1523</v>
      </c>
      <c r="E164" s="51">
        <v>1601</v>
      </c>
      <c r="F164" s="51">
        <v>1743</v>
      </c>
      <c r="G164" s="51">
        <v>1937</v>
      </c>
      <c r="H164" s="51">
        <v>2116</v>
      </c>
      <c r="I164" s="51">
        <v>2277</v>
      </c>
    </row>
    <row r="165" spans="1:9" x14ac:dyDescent="0.35">
      <c r="A165" s="27" t="s">
        <v>74</v>
      </c>
      <c r="B165" s="27" t="s">
        <v>45</v>
      </c>
      <c r="D165" s="51">
        <v>1199</v>
      </c>
      <c r="E165" s="51">
        <v>1255</v>
      </c>
      <c r="F165" s="51">
        <v>1322</v>
      </c>
      <c r="G165" s="51">
        <v>1502</v>
      </c>
      <c r="H165" s="51">
        <v>1658</v>
      </c>
      <c r="I165" s="51">
        <v>1813</v>
      </c>
    </row>
    <row r="166" spans="1:9" x14ac:dyDescent="0.35">
      <c r="A166" s="27" t="s">
        <v>74</v>
      </c>
      <c r="B166" s="27" t="s">
        <v>87</v>
      </c>
      <c r="D166" s="52">
        <v>9.08</v>
      </c>
      <c r="E166" s="52">
        <v>9.48</v>
      </c>
      <c r="F166" s="52">
        <v>10.07</v>
      </c>
      <c r="G166" s="52">
        <v>11.44</v>
      </c>
      <c r="H166" s="52">
        <v>12.57</v>
      </c>
      <c r="I166" s="52">
        <v>13.57</v>
      </c>
    </row>
    <row r="167" spans="1:9" x14ac:dyDescent="0.35">
      <c r="A167" s="27" t="s">
        <v>74</v>
      </c>
      <c r="B167" s="27" t="s">
        <v>88</v>
      </c>
      <c r="D167" s="53">
        <v>0.83</v>
      </c>
      <c r="E167" s="53">
        <v>0.97</v>
      </c>
      <c r="F167" s="53">
        <v>0.45</v>
      </c>
      <c r="G167" s="53">
        <v>0.83</v>
      </c>
      <c r="H167" s="53">
        <v>0.83</v>
      </c>
      <c r="I167" s="53">
        <v>0.3</v>
      </c>
    </row>
    <row r="168" spans="1:9" x14ac:dyDescent="0.35">
      <c r="A168" s="48" t="s">
        <v>74</v>
      </c>
      <c r="B168" s="49" t="s">
        <v>89</v>
      </c>
      <c r="C168" s="50"/>
      <c r="D168" s="50"/>
      <c r="E168" s="50"/>
      <c r="F168" s="50"/>
      <c r="G168" s="50"/>
      <c r="H168" s="50"/>
      <c r="I168" s="50"/>
    </row>
    <row r="169" spans="1:9" x14ac:dyDescent="0.35">
      <c r="A169" s="27" t="s">
        <v>74</v>
      </c>
      <c r="B169" s="27" t="s">
        <v>90</v>
      </c>
      <c r="D169" s="51">
        <v>129</v>
      </c>
      <c r="E169" s="51">
        <v>129</v>
      </c>
      <c r="F169" s="51">
        <v>129</v>
      </c>
      <c r="G169" s="51">
        <v>129</v>
      </c>
      <c r="H169" s="51">
        <v>129</v>
      </c>
      <c r="I169" s="51">
        <v>130</v>
      </c>
    </row>
    <row r="170" spans="1:9" x14ac:dyDescent="0.35">
      <c r="A170" s="27" t="s">
        <v>74</v>
      </c>
      <c r="B170" s="27" t="s">
        <v>91</v>
      </c>
      <c r="D170" s="51">
        <v>3111</v>
      </c>
      <c r="E170" s="51">
        <v>3219</v>
      </c>
      <c r="F170" s="51">
        <v>3670</v>
      </c>
      <c r="G170" s="51">
        <v>3703</v>
      </c>
      <c r="H170" s="51">
        <v>3846</v>
      </c>
      <c r="I170" s="51">
        <v>4080</v>
      </c>
    </row>
    <row r="171" spans="1:9" x14ac:dyDescent="0.35">
      <c r="A171" s="27" t="s">
        <v>74</v>
      </c>
      <c r="B171" s="27" t="s">
        <v>92</v>
      </c>
      <c r="D171" s="51">
        <v>511</v>
      </c>
      <c r="E171" s="51">
        <v>479</v>
      </c>
      <c r="F171" s="51">
        <v>608</v>
      </c>
      <c r="G171" s="51">
        <v>528</v>
      </c>
      <c r="H171" s="51">
        <v>554</v>
      </c>
      <c r="I171" s="51">
        <v>557</v>
      </c>
    </row>
    <row r="172" spans="1:9" x14ac:dyDescent="0.35">
      <c r="A172" s="27" t="s">
        <v>74</v>
      </c>
      <c r="B172" s="27" t="s">
        <v>93</v>
      </c>
      <c r="D172" s="51">
        <v>1675</v>
      </c>
      <c r="E172" s="51">
        <v>1850</v>
      </c>
      <c r="F172" s="51">
        <v>2393</v>
      </c>
      <c r="G172" s="51">
        <v>2993</v>
      </c>
      <c r="H172" s="51">
        <v>3746</v>
      </c>
      <c r="I172" s="51">
        <v>5183</v>
      </c>
    </row>
    <row r="173" spans="1:9" x14ac:dyDescent="0.35">
      <c r="A173" s="27" t="s">
        <v>74</v>
      </c>
      <c r="B173" s="27" t="s">
        <v>94</v>
      </c>
      <c r="D173" s="51">
        <v>5426</v>
      </c>
      <c r="E173" s="51">
        <v>5677</v>
      </c>
      <c r="F173" s="51">
        <v>6800</v>
      </c>
      <c r="G173" s="51">
        <v>7353</v>
      </c>
      <c r="H173" s="51">
        <v>8275</v>
      </c>
      <c r="I173" s="51">
        <v>9950</v>
      </c>
    </row>
    <row r="174" spans="1:9" x14ac:dyDescent="0.35">
      <c r="A174" s="27" t="s">
        <v>74</v>
      </c>
      <c r="B174" s="27" t="s">
        <v>95</v>
      </c>
      <c r="D174" s="51">
        <v>1612</v>
      </c>
      <c r="E174" s="51">
        <v>1760</v>
      </c>
      <c r="F174" s="51">
        <v>2246</v>
      </c>
      <c r="G174" s="51">
        <v>2724</v>
      </c>
      <c r="H174" s="51">
        <v>2758</v>
      </c>
      <c r="I174" s="51">
        <v>3633</v>
      </c>
    </row>
    <row r="175" spans="1:9" x14ac:dyDescent="0.35">
      <c r="A175" s="27" t="s">
        <v>74</v>
      </c>
      <c r="B175" s="27" t="s">
        <v>96</v>
      </c>
      <c r="D175" s="51">
        <v>24</v>
      </c>
      <c r="E175" s="51">
        <v>39</v>
      </c>
      <c r="F175" s="51">
        <v>67</v>
      </c>
      <c r="G175" s="51">
        <v>44</v>
      </c>
      <c r="H175" s="51">
        <v>40</v>
      </c>
      <c r="I175" s="51">
        <v>85</v>
      </c>
    </row>
    <row r="176" spans="1:9" x14ac:dyDescent="0.35">
      <c r="A176" s="27" t="s">
        <v>74</v>
      </c>
      <c r="B176" s="27" t="s">
        <v>97</v>
      </c>
      <c r="D176" s="51">
        <v>854</v>
      </c>
      <c r="E176" s="51">
        <v>828</v>
      </c>
      <c r="F176" s="51">
        <v>1096</v>
      </c>
      <c r="G176" s="51">
        <v>602</v>
      </c>
      <c r="H176" s="51">
        <v>1590</v>
      </c>
      <c r="I176" s="51">
        <v>2083</v>
      </c>
    </row>
    <row r="177" spans="1:9" x14ac:dyDescent="0.35">
      <c r="A177" s="27" t="s">
        <v>74</v>
      </c>
      <c r="B177" s="27" t="s">
        <v>98</v>
      </c>
      <c r="D177" s="51">
        <v>2936</v>
      </c>
      <c r="E177" s="51">
        <v>3050</v>
      </c>
      <c r="F177" s="51">
        <v>3391</v>
      </c>
      <c r="G177" s="51">
        <v>3983</v>
      </c>
      <c r="H177" s="51">
        <v>3887</v>
      </c>
      <c r="I177" s="51">
        <v>4149</v>
      </c>
    </row>
    <row r="178" spans="1:9" x14ac:dyDescent="0.35">
      <c r="A178" s="27" t="s">
        <v>74</v>
      </c>
      <c r="B178" s="27" t="s">
        <v>99</v>
      </c>
      <c r="D178" s="54">
        <f t="shared" ref="D178:I178" si="20">D174+D175+D176+D177</f>
        <v>5426</v>
      </c>
      <c r="E178" s="54">
        <f t="shared" si="20"/>
        <v>5677</v>
      </c>
      <c r="F178" s="54">
        <f t="shared" si="20"/>
        <v>6800</v>
      </c>
      <c r="G178" s="54">
        <f t="shared" si="20"/>
        <v>7353</v>
      </c>
      <c r="H178" s="54">
        <f t="shared" si="20"/>
        <v>8275</v>
      </c>
      <c r="I178" s="54">
        <f t="shared" si="20"/>
        <v>9950</v>
      </c>
    </row>
    <row r="179" spans="1:9" x14ac:dyDescent="0.35">
      <c r="A179" s="48" t="s">
        <v>74</v>
      </c>
      <c r="B179" s="49" t="s">
        <v>100</v>
      </c>
      <c r="C179" s="50"/>
      <c r="D179" s="50"/>
      <c r="E179" s="50"/>
      <c r="F179" s="50"/>
      <c r="G179" s="50"/>
      <c r="H179" s="50"/>
      <c r="I179" s="50"/>
    </row>
    <row r="180" spans="1:9" x14ac:dyDescent="0.35">
      <c r="A180" s="27" t="s">
        <v>74</v>
      </c>
      <c r="B180" s="27" t="s">
        <v>101</v>
      </c>
      <c r="D180" s="51">
        <v>2007</v>
      </c>
      <c r="E180" s="51">
        <v>1016</v>
      </c>
      <c r="F180" s="51">
        <v>1419</v>
      </c>
      <c r="G180" s="51">
        <v>1387</v>
      </c>
      <c r="H180" s="51">
        <v>1363</v>
      </c>
      <c r="I180" s="51">
        <v>2084</v>
      </c>
    </row>
    <row r="181" spans="1:9" x14ac:dyDescent="0.35">
      <c r="A181" s="27" t="s">
        <v>74</v>
      </c>
      <c r="B181" s="27" t="s">
        <v>102</v>
      </c>
      <c r="D181" s="51">
        <v>-933</v>
      </c>
      <c r="E181" s="51">
        <v>441</v>
      </c>
      <c r="F181" s="51">
        <v>-928</v>
      </c>
      <c r="G181" s="51">
        <v>176</v>
      </c>
      <c r="H181" s="51">
        <v>-621</v>
      </c>
      <c r="I181" s="51">
        <v>-722</v>
      </c>
    </row>
    <row r="182" spans="1:9" x14ac:dyDescent="0.35">
      <c r="A182" s="27" t="s">
        <v>74</v>
      </c>
      <c r="B182" s="27" t="s">
        <v>103</v>
      </c>
      <c r="D182" s="51">
        <v>-1058</v>
      </c>
      <c r="E182" s="51">
        <v>-1290</v>
      </c>
      <c r="F182" s="51">
        <v>-560</v>
      </c>
      <c r="G182" s="51">
        <v>-1542</v>
      </c>
      <c r="H182" s="51">
        <v>-649</v>
      </c>
      <c r="I182" s="51">
        <v>-1279</v>
      </c>
    </row>
    <row r="183" spans="1:9" x14ac:dyDescent="0.35">
      <c r="A183" s="27" t="s">
        <v>74</v>
      </c>
      <c r="B183" s="27" t="s">
        <v>104</v>
      </c>
      <c r="D183" s="51">
        <v>1870</v>
      </c>
      <c r="E183" s="51">
        <v>884</v>
      </c>
      <c r="F183" s="51">
        <v>1237</v>
      </c>
      <c r="G183" s="51">
        <v>1234</v>
      </c>
      <c r="H183" s="51">
        <v>1241</v>
      </c>
      <c r="I183" s="51">
        <v>1772</v>
      </c>
    </row>
    <row r="184" spans="1:9" x14ac:dyDescent="0.35">
      <c r="A184" s="48" t="s">
        <v>74</v>
      </c>
      <c r="B184" s="49" t="s">
        <v>105</v>
      </c>
      <c r="C184" s="50"/>
      <c r="D184" s="50"/>
      <c r="E184" s="50"/>
      <c r="F184" s="50"/>
      <c r="G184" s="50"/>
      <c r="H184" s="50"/>
      <c r="I184" s="50"/>
    </row>
    <row r="185" spans="1:9" x14ac:dyDescent="0.35">
      <c r="A185" s="27" t="s">
        <v>74</v>
      </c>
      <c r="B185" s="27" t="s">
        <v>106</v>
      </c>
      <c r="D185" s="55">
        <v>18</v>
      </c>
      <c r="E185" s="55">
        <v>25</v>
      </c>
      <c r="F185" s="55">
        <v>38</v>
      </c>
      <c r="G185" s="55">
        <v>40</v>
      </c>
      <c r="H185" s="55">
        <v>43</v>
      </c>
      <c r="I185" s="55">
        <v>35</v>
      </c>
    </row>
    <row r="186" spans="1:9" x14ac:dyDescent="0.35">
      <c r="A186" s="27" t="s">
        <v>74</v>
      </c>
      <c r="B186" s="27" t="s">
        <v>107</v>
      </c>
      <c r="D186" s="55">
        <v>108</v>
      </c>
      <c r="E186" s="55">
        <v>106</v>
      </c>
      <c r="F186" s="55">
        <v>94</v>
      </c>
      <c r="G186" s="55">
        <v>116</v>
      </c>
      <c r="H186" s="55">
        <v>93</v>
      </c>
      <c r="I186" s="55">
        <v>85</v>
      </c>
    </row>
    <row r="187" spans="1:9" x14ac:dyDescent="0.35">
      <c r="A187" s="27" t="s">
        <v>74</v>
      </c>
      <c r="B187" s="27" t="s">
        <v>108</v>
      </c>
      <c r="D187" s="55">
        <v>109</v>
      </c>
      <c r="E187" s="55">
        <v>101</v>
      </c>
      <c r="F187" s="55">
        <v>112</v>
      </c>
      <c r="G187" s="55">
        <v>137</v>
      </c>
      <c r="H187" s="55">
        <v>103</v>
      </c>
      <c r="I187" s="55">
        <v>108</v>
      </c>
    </row>
    <row r="188" spans="1:9" x14ac:dyDescent="0.35">
      <c r="A188" s="48" t="s">
        <v>74</v>
      </c>
      <c r="B188" s="49" t="s">
        <v>109</v>
      </c>
      <c r="C188" s="50"/>
      <c r="D188" s="50"/>
      <c r="E188" s="50"/>
      <c r="F188" s="50"/>
      <c r="G188" s="50"/>
      <c r="H188" s="50"/>
      <c r="I188" s="50"/>
    </row>
    <row r="189" spans="1:9" x14ac:dyDescent="0.35">
      <c r="A189" s="27" t="s">
        <v>74</v>
      </c>
      <c r="B189" s="27" t="s">
        <v>110</v>
      </c>
      <c r="D189" s="54">
        <f t="shared" ref="D189:I189" si="21">D169+D170</f>
        <v>3240</v>
      </c>
      <c r="E189" s="54">
        <f t="shared" si="21"/>
        <v>3348</v>
      </c>
      <c r="F189" s="54">
        <f t="shared" si="21"/>
        <v>3799</v>
      </c>
      <c r="G189" s="54">
        <f t="shared" si="21"/>
        <v>3832</v>
      </c>
      <c r="H189" s="54">
        <f t="shared" si="21"/>
        <v>3975</v>
      </c>
      <c r="I189" s="54">
        <f t="shared" si="21"/>
        <v>4210</v>
      </c>
    </row>
    <row r="190" spans="1:9" x14ac:dyDescent="0.35">
      <c r="A190" s="27" t="s">
        <v>74</v>
      </c>
      <c r="B190" s="27" t="s">
        <v>111</v>
      </c>
      <c r="D190" s="54">
        <f t="shared" ref="D190:I190" si="22">D164+D162</f>
        <v>1557</v>
      </c>
      <c r="E190" s="54">
        <f t="shared" si="22"/>
        <v>1640</v>
      </c>
      <c r="F190" s="54">
        <f t="shared" si="22"/>
        <v>1799</v>
      </c>
      <c r="G190" s="54">
        <f t="shared" si="22"/>
        <v>2010</v>
      </c>
      <c r="H190" s="54">
        <f t="shared" si="22"/>
        <v>2169</v>
      </c>
      <c r="I190" s="54">
        <f t="shared" si="22"/>
        <v>2330</v>
      </c>
    </row>
    <row r="191" spans="1:9" x14ac:dyDescent="0.35">
      <c r="A191" s="27" t="s">
        <v>74</v>
      </c>
      <c r="B191" s="27" t="s">
        <v>112</v>
      </c>
      <c r="D191" s="54">
        <f t="shared" ref="D191:I191" si="23">D189+D171</f>
        <v>3751</v>
      </c>
      <c r="E191" s="54">
        <f t="shared" si="23"/>
        <v>3827</v>
      </c>
      <c r="F191" s="54">
        <f t="shared" si="23"/>
        <v>4407</v>
      </c>
      <c r="G191" s="54">
        <f t="shared" si="23"/>
        <v>4360</v>
      </c>
      <c r="H191" s="54">
        <f t="shared" si="23"/>
        <v>4529</v>
      </c>
      <c r="I191" s="54">
        <f t="shared" si="23"/>
        <v>4767</v>
      </c>
    </row>
    <row r="192" spans="1:9" x14ac:dyDescent="0.35">
      <c r="A192" s="27" t="s">
        <v>74</v>
      </c>
      <c r="B192" s="27" t="s">
        <v>113</v>
      </c>
      <c r="D192" s="54">
        <f t="shared" ref="D192:I192" si="24">D178-D173</f>
        <v>0</v>
      </c>
      <c r="E192" s="54">
        <f t="shared" si="24"/>
        <v>0</v>
      </c>
      <c r="F192" s="54">
        <f t="shared" si="24"/>
        <v>0</v>
      </c>
      <c r="G192" s="54">
        <f t="shared" si="24"/>
        <v>0</v>
      </c>
      <c r="H192" s="54">
        <f t="shared" si="24"/>
        <v>0</v>
      </c>
      <c r="I192" s="54">
        <f t="shared" si="24"/>
        <v>0</v>
      </c>
    </row>
  </sheetData>
  <sheetProtection algorithmName="SHA-512" hashValue="PpjtvStZ+x6DWagFOXH0TNyfHNPcXtBsLVYisHySGjv6dpIGgz1p6tlLvW+A/dqTch9gNmAZm1CyGWMH0Ffi3w==" saltValue="tt5xSJkhfBgJiA48N7LyUA==" spinCount="100000" sheet="1" objects="1" scenarios="1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11" customWidth="1"/>
    <col min="2" max="2" width="36" customWidth="1"/>
    <col min="3" max="3" width="44" customWidth="1"/>
    <col min="4" max="9" width="12" customWidth="1"/>
    <col min="10" max="10" width="17" customWidth="1"/>
  </cols>
  <sheetData>
    <row r="1" spans="1:10" ht="16.5" x14ac:dyDescent="0.35">
      <c r="A1" s="47" t="s">
        <v>114</v>
      </c>
    </row>
    <row r="2" spans="1:10" x14ac:dyDescent="0.35">
      <c r="A2" s="20" t="s">
        <v>115</v>
      </c>
    </row>
    <row r="4" spans="1:10" x14ac:dyDescent="0.35">
      <c r="A4" s="23" t="s">
        <v>71</v>
      </c>
      <c r="B4" s="23" t="s">
        <v>116</v>
      </c>
      <c r="C4" s="23" t="s">
        <v>117</v>
      </c>
      <c r="D4" s="24" t="s">
        <v>79</v>
      </c>
      <c r="E4" s="24" t="s">
        <v>51</v>
      </c>
      <c r="F4" s="24" t="s">
        <v>52</v>
      </c>
      <c r="G4" s="24" t="s">
        <v>53</v>
      </c>
      <c r="H4" s="24" t="s">
        <v>54</v>
      </c>
      <c r="I4" s="24" t="s">
        <v>42</v>
      </c>
      <c r="J4" s="24" t="s">
        <v>118</v>
      </c>
    </row>
    <row r="5" spans="1:10" x14ac:dyDescent="0.35">
      <c r="A5" s="56" t="s">
        <v>71</v>
      </c>
      <c r="B5" s="49" t="s">
        <v>119</v>
      </c>
      <c r="C5" s="50"/>
      <c r="D5" s="50"/>
      <c r="E5" s="50"/>
      <c r="F5" s="50"/>
      <c r="G5" s="50"/>
      <c r="H5" s="50"/>
      <c r="I5" s="50"/>
      <c r="J5" s="50"/>
    </row>
    <row r="6" spans="1:10" x14ac:dyDescent="0.35">
      <c r="A6" s="57" t="s">
        <v>71</v>
      </c>
      <c r="B6" s="57" t="s">
        <v>120</v>
      </c>
      <c r="C6" s="58" t="s">
        <v>121</v>
      </c>
      <c r="D6" s="59" t="s">
        <v>122</v>
      </c>
      <c r="E6" s="60">
        <f>Financials!E6/Financials!D6-1</f>
        <v>0.11520796121459553</v>
      </c>
      <c r="F6" s="60">
        <f>Financials!F6/Financials!E6-1</f>
        <v>0.15509285741524614</v>
      </c>
      <c r="G6" s="60">
        <f>Financials!G6/Financials!F6-1</f>
        <v>2.1723341036645749E-2</v>
      </c>
      <c r="H6" s="60">
        <f>Financials!H6/Financials!G6-1</f>
        <v>-9.1766834690448773E-3</v>
      </c>
      <c r="I6" s="60">
        <f>Financials!I6/Financials!H6-1</f>
        <v>5.1200104356900589E-2</v>
      </c>
      <c r="J6" s="61">
        <f>AVERAGE(E6:I6)</f>
        <v>6.6809516110868633E-2</v>
      </c>
    </row>
    <row r="7" spans="1:10" x14ac:dyDescent="0.35">
      <c r="A7" s="57" t="s">
        <v>71</v>
      </c>
      <c r="B7" s="57" t="s">
        <v>123</v>
      </c>
      <c r="C7" s="58" t="s">
        <v>124</v>
      </c>
      <c r="D7" s="59" t="s">
        <v>122</v>
      </c>
      <c r="E7" s="60">
        <f>Financials!E13/Financials!D13-1</f>
        <v>0.1116389548693586</v>
      </c>
      <c r="F7" s="60">
        <f>Financials!F13/Financials!E13-1</f>
        <v>0.14068825910931171</v>
      </c>
      <c r="G7" s="60">
        <f>Financials!G13/Financials!F13-1</f>
        <v>1.370403233757278E-2</v>
      </c>
      <c r="H7" s="60">
        <f>Financials!H13/Financials!G13-1</f>
        <v>3.783310639953319E-2</v>
      </c>
      <c r="I7" s="60">
        <f>Financials!I13/Financials!H13-1</f>
        <v>0.41120794677162409</v>
      </c>
      <c r="J7" s="61">
        <f>AVERAGE(E7:I7)</f>
        <v>0.14301445989748007</v>
      </c>
    </row>
    <row r="8" spans="1:10" x14ac:dyDescent="0.35">
      <c r="A8" s="56" t="s">
        <v>71</v>
      </c>
      <c r="B8" s="49" t="s">
        <v>61</v>
      </c>
      <c r="C8" s="50"/>
      <c r="D8" s="50"/>
      <c r="E8" s="50"/>
      <c r="F8" s="50"/>
      <c r="G8" s="50"/>
      <c r="H8" s="50"/>
      <c r="I8" s="50"/>
      <c r="J8" s="50"/>
    </row>
    <row r="9" spans="1:10" x14ac:dyDescent="0.35">
      <c r="A9" s="57" t="s">
        <v>71</v>
      </c>
      <c r="B9" s="57" t="s">
        <v>125</v>
      </c>
      <c r="C9" s="58" t="s">
        <v>126</v>
      </c>
      <c r="D9" s="60">
        <f>Financials!D8/Financials!D6</f>
        <v>0.24721442544866887</v>
      </c>
      <c r="E9" s="60">
        <f>Financials!E8/Financials!E6</f>
        <v>0.24514738969606834</v>
      </c>
      <c r="F9" s="60">
        <f>Financials!F8/Financials!F6</f>
        <v>0.23352591614394189</v>
      </c>
      <c r="G9" s="60">
        <f>Financials!G8/Financials!G6</f>
        <v>0.23683275171255008</v>
      </c>
      <c r="H9" s="60">
        <f>Financials!H8/Financials!H6</f>
        <v>0.23966214453430734</v>
      </c>
      <c r="I9" s="60">
        <f>Financials!I8/Financials!I6</f>
        <v>0.23327852578023206</v>
      </c>
      <c r="J9" s="61">
        <f>AVERAGE(E9:I9)</f>
        <v>0.23768934557341992</v>
      </c>
    </row>
    <row r="10" spans="1:10" x14ac:dyDescent="0.35">
      <c r="A10" s="57" t="s">
        <v>71</v>
      </c>
      <c r="B10" s="57" t="s">
        <v>60</v>
      </c>
      <c r="C10" s="58" t="s">
        <v>127</v>
      </c>
      <c r="D10" s="60">
        <f>Financials!D13/Financials!D6</f>
        <v>0.17009015905418048</v>
      </c>
      <c r="E10" s="60">
        <f>Financials!E13/Financials!E6</f>
        <v>0.16954581855622927</v>
      </c>
      <c r="F10" s="60">
        <f>Financials!F13/Financials!F6</f>
        <v>0.16743149554308354</v>
      </c>
      <c r="G10" s="60">
        <f>Financials!G13/Financials!G6</f>
        <v>0.16611735814915343</v>
      </c>
      <c r="H10" s="60">
        <f>Financials!H13/Financials!H6</f>
        <v>0.17399882598486824</v>
      </c>
      <c r="I10" s="60">
        <f>Financials!I13/Financials!I6</f>
        <v>0.2335887572128808</v>
      </c>
      <c r="J10" s="61">
        <f>AVERAGE(E10:I10)</f>
        <v>0.18213645108924306</v>
      </c>
    </row>
    <row r="11" spans="1:10" x14ac:dyDescent="0.35">
      <c r="A11" s="57" t="s">
        <v>71</v>
      </c>
      <c r="B11" s="57" t="s">
        <v>128</v>
      </c>
      <c r="C11" s="58" t="s">
        <v>129</v>
      </c>
      <c r="D11" s="59" t="s">
        <v>122</v>
      </c>
      <c r="E11" s="60">
        <f>Financials!E13/((Financials!E37+Financials!D37)/2)</f>
        <v>0.18384245619475889</v>
      </c>
      <c r="F11" s="60">
        <f>Financials!F13/((Financials!F37+Financials!E37)/2)</f>
        <v>0.20415639309616063</v>
      </c>
      <c r="G11" s="60">
        <f>Financials!G13/((Financials!G37+Financials!F37)/2)</f>
        <v>0.20255708122377417</v>
      </c>
      <c r="H11" s="60">
        <f>Financials!H13/((Financials!H37+Financials!G37)/2)</f>
        <v>0.21210494931425164</v>
      </c>
      <c r="I11" s="60">
        <f>Financials!I13/((Financials!I37+Financials!H37)/2)</f>
        <v>0.30688499200130426</v>
      </c>
      <c r="J11" s="61">
        <f>AVERAGE(E11:I11)</f>
        <v>0.2219091743660499</v>
      </c>
    </row>
    <row r="12" spans="1:10" x14ac:dyDescent="0.35">
      <c r="A12" s="57" t="s">
        <v>71</v>
      </c>
      <c r="B12" s="57" t="s">
        <v>130</v>
      </c>
      <c r="C12" s="58" t="s">
        <v>131</v>
      </c>
      <c r="D12" s="59" t="s">
        <v>122</v>
      </c>
      <c r="E12" s="60">
        <f>Financials!E38/((Financials!E39+Financials!D39)/2)</f>
        <v>0.2451471701200679</v>
      </c>
      <c r="F12" s="60">
        <f>Financials!F38/((Financials!F39+Financials!E39)/2)</f>
        <v>0.26485087624351794</v>
      </c>
      <c r="G12" s="60">
        <f>Financials!G38/((Financials!G39+Financials!F39)/2)</f>
        <v>0.27363876229311584</v>
      </c>
      <c r="H12" s="60">
        <f>Financials!H38/((Financials!H39+Financials!G39)/2)</f>
        <v>0.28529570514303337</v>
      </c>
      <c r="I12" s="60">
        <f>Financials!I38/((Financials!I39+Financials!H39)/2)</f>
        <v>0.36791847294775198</v>
      </c>
      <c r="J12" s="61">
        <f>AVERAGE(E12:I12)</f>
        <v>0.28737019734949742</v>
      </c>
    </row>
    <row r="13" spans="1:10" x14ac:dyDescent="0.35">
      <c r="A13" s="57" t="s">
        <v>71</v>
      </c>
      <c r="B13" s="57" t="s">
        <v>132</v>
      </c>
      <c r="C13" s="58" t="s">
        <v>133</v>
      </c>
      <c r="D13" s="59" t="s">
        <v>122</v>
      </c>
      <c r="E13" s="60">
        <f>Financials!E13/((Financials!E26+Financials!D26)/2)</f>
        <v>0.12771641555233185</v>
      </c>
      <c r="F13" s="60">
        <f>Financials!F13/((Financials!F26+Financials!E26)/2)</f>
        <v>0.14128413530849751</v>
      </c>
      <c r="G13" s="60">
        <f>Financials!G13/((Financials!G26+Financials!F26)/2)</f>
        <v>0.13567686684348731</v>
      </c>
      <c r="H13" s="60">
        <f>Financials!H13/((Financials!H26+Financials!G26)/2)</f>
        <v>0.13477568960290998</v>
      </c>
      <c r="I13" s="60">
        <f>Financials!I13/((Financials!I26+Financials!H26)/2)</f>
        <v>0.18870809080143608</v>
      </c>
      <c r="J13" s="61">
        <f>AVERAGE(E13:I13)</f>
        <v>0.14563223962173252</v>
      </c>
    </row>
    <row r="14" spans="1:10" x14ac:dyDescent="0.35">
      <c r="A14" s="56" t="s">
        <v>71</v>
      </c>
      <c r="B14" s="49" t="s">
        <v>63</v>
      </c>
      <c r="C14" s="50"/>
      <c r="D14" s="50"/>
      <c r="E14" s="50"/>
      <c r="F14" s="50"/>
      <c r="G14" s="50"/>
      <c r="H14" s="50"/>
      <c r="I14" s="50"/>
      <c r="J14" s="50"/>
    </row>
    <row r="15" spans="1:10" x14ac:dyDescent="0.35">
      <c r="A15" s="57" t="s">
        <v>71</v>
      </c>
      <c r="B15" s="57" t="s">
        <v>68</v>
      </c>
      <c r="C15" s="58" t="s">
        <v>134</v>
      </c>
      <c r="D15" s="59" t="s">
        <v>122</v>
      </c>
      <c r="E15" s="62">
        <f>Financials!E6/((Financials!E26+Financials!D26)/2)</f>
        <v>0.75328555218821369</v>
      </c>
      <c r="F15" s="62">
        <f>Financials!F6/((Financials!F26+Financials!E26)/2)</f>
        <v>0.84383248713287784</v>
      </c>
      <c r="G15" s="62">
        <f>Financials!G6/((Financials!G26+Financials!F26)/2)</f>
        <v>0.81675309766042514</v>
      </c>
      <c r="H15" s="62">
        <f>Financials!H6/((Financials!H26+Financials!G26)/2)</f>
        <v>0.77457815499646354</v>
      </c>
      <c r="I15" s="62">
        <f>Financials!I6/((Financials!I26+Financials!H26)/2)</f>
        <v>0.80786461237711538</v>
      </c>
      <c r="J15" s="63">
        <f>AVERAGE(E15:I15)</f>
        <v>0.7992627808710191</v>
      </c>
    </row>
    <row r="16" spans="1:10" x14ac:dyDescent="0.35">
      <c r="A16" s="57" t="s">
        <v>71</v>
      </c>
      <c r="B16" s="57" t="s">
        <v>106</v>
      </c>
      <c r="C16" s="58" t="s">
        <v>135</v>
      </c>
      <c r="D16" s="64">
        <f>Financials!D33</f>
        <v>14</v>
      </c>
      <c r="E16" s="64">
        <f>Financials!E33</f>
        <v>16</v>
      </c>
      <c r="F16" s="64">
        <f>Financials!F33</f>
        <v>19</v>
      </c>
      <c r="G16" s="64">
        <f>Financials!G33</f>
        <v>18</v>
      </c>
      <c r="H16" s="64">
        <f>Financials!H33</f>
        <v>23</v>
      </c>
      <c r="I16" s="64">
        <f>Financials!I33</f>
        <v>19</v>
      </c>
      <c r="J16" s="65">
        <f>AVERAGE(E16:I16)</f>
        <v>19</v>
      </c>
    </row>
    <row r="17" spans="1:10" x14ac:dyDescent="0.35">
      <c r="A17" s="57" t="s">
        <v>71</v>
      </c>
      <c r="B17" s="57" t="s">
        <v>107</v>
      </c>
      <c r="C17" s="58" t="s">
        <v>135</v>
      </c>
      <c r="D17" s="64">
        <f>Financials!D34</f>
        <v>66</v>
      </c>
      <c r="E17" s="64">
        <f>Financials!E34</f>
        <v>65</v>
      </c>
      <c r="F17" s="64">
        <f>Financials!F34</f>
        <v>55</v>
      </c>
      <c r="G17" s="64">
        <f>Financials!G34</f>
        <v>55</v>
      </c>
      <c r="H17" s="64">
        <f>Financials!H34</f>
        <v>61</v>
      </c>
      <c r="I17" s="64">
        <f>Financials!I34</f>
        <v>61</v>
      </c>
      <c r="J17" s="65">
        <f>AVERAGE(E17:I17)</f>
        <v>59.4</v>
      </c>
    </row>
    <row r="18" spans="1:10" x14ac:dyDescent="0.35">
      <c r="A18" s="57" t="s">
        <v>71</v>
      </c>
      <c r="B18" s="57" t="s">
        <v>136</v>
      </c>
      <c r="C18" s="58" t="s">
        <v>135</v>
      </c>
      <c r="D18" s="64">
        <f>Financials!D35</f>
        <v>163</v>
      </c>
      <c r="E18" s="64">
        <f>Financials!E35</f>
        <v>145</v>
      </c>
      <c r="F18" s="64">
        <f>Financials!F35</f>
        <v>123</v>
      </c>
      <c r="G18" s="64">
        <f>Financials!G35</f>
        <v>143</v>
      </c>
      <c r="H18" s="64">
        <f>Financials!H35</f>
        <v>156</v>
      </c>
      <c r="I18" s="64">
        <f>Financials!I35</f>
        <v>169</v>
      </c>
      <c r="J18" s="65">
        <f>AVERAGE(E18:I18)</f>
        <v>147.19999999999999</v>
      </c>
    </row>
    <row r="19" spans="1:10" x14ac:dyDescent="0.35">
      <c r="A19" s="57" t="s">
        <v>71</v>
      </c>
      <c r="B19" s="57" t="s">
        <v>137</v>
      </c>
      <c r="C19" s="58" t="s">
        <v>138</v>
      </c>
      <c r="D19" s="66">
        <f t="shared" ref="D19:I19" si="0">D16+D17-D18</f>
        <v>-83</v>
      </c>
      <c r="E19" s="66">
        <f t="shared" si="0"/>
        <v>-64</v>
      </c>
      <c r="F19" s="66">
        <f t="shared" si="0"/>
        <v>-49</v>
      </c>
      <c r="G19" s="66">
        <f t="shared" si="0"/>
        <v>-70</v>
      </c>
      <c r="H19" s="66">
        <f t="shared" si="0"/>
        <v>-72</v>
      </c>
      <c r="I19" s="66">
        <f t="shared" si="0"/>
        <v>-89</v>
      </c>
      <c r="J19" s="65">
        <f>AVERAGE(E19:I19)</f>
        <v>-68.8</v>
      </c>
    </row>
    <row r="20" spans="1:10" x14ac:dyDescent="0.35">
      <c r="A20" s="56" t="s">
        <v>71</v>
      </c>
      <c r="B20" s="49" t="s">
        <v>139</v>
      </c>
      <c r="C20" s="50"/>
      <c r="D20" s="50"/>
      <c r="E20" s="50"/>
      <c r="F20" s="50"/>
      <c r="G20" s="50"/>
      <c r="H20" s="50"/>
      <c r="I20" s="50"/>
      <c r="J20" s="50"/>
    </row>
    <row r="21" spans="1:10" x14ac:dyDescent="0.35">
      <c r="A21" s="57" t="s">
        <v>71</v>
      </c>
      <c r="B21" s="57" t="s">
        <v>49</v>
      </c>
      <c r="C21" s="58" t="s">
        <v>140</v>
      </c>
      <c r="D21" s="62">
        <f>Financials!D19/Financials!D37</f>
        <v>0</v>
      </c>
      <c r="E21" s="62">
        <f>Financials!E19/Financials!E37</f>
        <v>2.1259248690405821E-2</v>
      </c>
      <c r="F21" s="62">
        <f>Financials!F19/Financials!F37</f>
        <v>2.4232665394402036E-2</v>
      </c>
      <c r="G21" s="62">
        <f>Financials!G19/Financials!G37</f>
        <v>2.8974188761763442E-2</v>
      </c>
      <c r="H21" s="62">
        <f>Financials!H19/Financials!H37</f>
        <v>3.3358973320918181E-2</v>
      </c>
      <c r="I21" s="62">
        <f>Financials!I19/Financials!I37</f>
        <v>3.032479123494532E-2</v>
      </c>
      <c r="J21" s="63">
        <f>AVERAGE(E21:I21)</f>
        <v>2.7629973480486958E-2</v>
      </c>
    </row>
    <row r="22" spans="1:10" x14ac:dyDescent="0.35">
      <c r="A22" s="57" t="s">
        <v>71</v>
      </c>
      <c r="B22" s="57" t="s">
        <v>141</v>
      </c>
      <c r="C22" s="58" t="s">
        <v>142</v>
      </c>
      <c r="D22" s="62">
        <f>IFERROR(Financials!D38/Financials!D10,0)</f>
        <v>91.641025641025635</v>
      </c>
      <c r="E22" s="62">
        <f>IFERROR(Financials!E38/Financials!E10,0)</f>
        <v>113.06603773584905</v>
      </c>
      <c r="F22" s="62">
        <f>IFERROR(Financials!F38/Financials!F10,0)</f>
        <v>118.05263157894737</v>
      </c>
      <c r="G22" s="62">
        <f>IFERROR(Financials!G38/Financials!G10,0)</f>
        <v>42.694610778443113</v>
      </c>
      <c r="H22" s="62">
        <f>IFERROR(Financials!H38/Financials!H10,0)</f>
        <v>38.84514435695538</v>
      </c>
      <c r="I22" s="62">
        <f>IFERROR(Financials!I38/Financials!I10,0)</f>
        <v>45.436585365853659</v>
      </c>
      <c r="J22" s="63">
        <f>AVERAGE(E22:I22)</f>
        <v>71.619001963209712</v>
      </c>
    </row>
    <row r="23" spans="1:10" x14ac:dyDescent="0.35">
      <c r="A23" s="56" t="s">
        <v>71</v>
      </c>
      <c r="B23" s="49" t="s">
        <v>143</v>
      </c>
      <c r="C23" s="50"/>
      <c r="D23" s="50"/>
      <c r="E23" s="50"/>
      <c r="F23" s="50"/>
      <c r="G23" s="50"/>
      <c r="H23" s="50"/>
      <c r="I23" s="50"/>
      <c r="J23" s="50"/>
    </row>
    <row r="24" spans="1:10" x14ac:dyDescent="0.35">
      <c r="A24" s="57" t="s">
        <v>71</v>
      </c>
      <c r="B24" s="57" t="s">
        <v>144</v>
      </c>
      <c r="C24" s="58" t="s">
        <v>145</v>
      </c>
      <c r="D24" s="62">
        <f>Financials!D28/Financials!D13</f>
        <v>1.1455181897737217</v>
      </c>
      <c r="E24" s="62">
        <f>Financials!E28/Financials!E13</f>
        <v>1.0175438596491229</v>
      </c>
      <c r="F24" s="62">
        <f>Financials!F28/Financials!F13</f>
        <v>0.98501429557330178</v>
      </c>
      <c r="G24" s="62">
        <f>Financials!G28/Financials!G13</f>
        <v>1.504473837774752</v>
      </c>
      <c r="H24" s="62">
        <f>Financials!H28/Financials!H13</f>
        <v>1.1138599943772842</v>
      </c>
      <c r="I24" s="62">
        <f>Financials!I28/Financials!I13</f>
        <v>0.73039378444783853</v>
      </c>
      <c r="J24" s="63">
        <f>AVERAGE(E24:I24)</f>
        <v>1.0702571543644599</v>
      </c>
    </row>
    <row r="25" spans="1:10" x14ac:dyDescent="0.35">
      <c r="A25" s="57" t="s">
        <v>71</v>
      </c>
      <c r="B25" s="57" t="s">
        <v>146</v>
      </c>
      <c r="C25" s="58" t="s">
        <v>147</v>
      </c>
      <c r="D25" s="60">
        <f>Financials!D31/Financials!D6</f>
        <v>0.10838224036744068</v>
      </c>
      <c r="E25" s="60">
        <f>Financials!E31/Financials!E6</f>
        <v>0.15244251229836403</v>
      </c>
      <c r="F25" s="60">
        <f>Financials!F31/Financials!F6</f>
        <v>0.14823374050841862</v>
      </c>
      <c r="G25" s="60">
        <f>Financials!G31/Financials!G6</f>
        <v>0.22637973374693032</v>
      </c>
      <c r="H25" s="60">
        <f>Financials!H31/Financials!H6</f>
        <v>0.17323245499608661</v>
      </c>
      <c r="I25" s="60">
        <f>Financials!I31/Financials!I6</f>
        <v>0.14995036297077619</v>
      </c>
      <c r="J25" s="61">
        <f>AVERAGE(E25:I25)</f>
        <v>0.17004776090411516</v>
      </c>
    </row>
    <row r="26" spans="1:10" x14ac:dyDescent="0.35">
      <c r="A26" s="57" t="s">
        <v>71</v>
      </c>
      <c r="B26" s="57" t="s">
        <v>148</v>
      </c>
      <c r="C26" s="58" t="s">
        <v>135</v>
      </c>
      <c r="D26" s="67">
        <f>Financials!D15</f>
        <v>1.19</v>
      </c>
      <c r="E26" s="67">
        <f>Financials!E15</f>
        <v>0.9</v>
      </c>
      <c r="F26" s="67">
        <f>Financials!F15</f>
        <v>0.91</v>
      </c>
      <c r="G26" s="67">
        <f>Financials!G15</f>
        <v>0.96</v>
      </c>
      <c r="H26" s="67">
        <f>Financials!H15</f>
        <v>1.17</v>
      </c>
      <c r="I26" s="67">
        <f>Financials!I15</f>
        <v>0.64</v>
      </c>
      <c r="J26" s="61">
        <f>AVERAGE(E26:I26)</f>
        <v>0.91600000000000004</v>
      </c>
    </row>
    <row r="27" spans="1:10" x14ac:dyDescent="0.35">
      <c r="A27" s="56" t="s">
        <v>71</v>
      </c>
      <c r="B27" s="49" t="s">
        <v>149</v>
      </c>
      <c r="C27" s="50"/>
      <c r="D27" s="50"/>
      <c r="E27" s="50"/>
      <c r="F27" s="50"/>
      <c r="G27" s="50"/>
      <c r="H27" s="50"/>
      <c r="I27" s="50"/>
      <c r="J27" s="50"/>
    </row>
    <row r="28" spans="1:10" x14ac:dyDescent="0.35">
      <c r="A28" s="57" t="s">
        <v>71</v>
      </c>
      <c r="B28" s="57" t="s">
        <v>60</v>
      </c>
      <c r="C28" s="58" t="s">
        <v>127</v>
      </c>
      <c r="D28" s="60">
        <f>Financials!D13/Financials!D6</f>
        <v>0.17009015905418048</v>
      </c>
      <c r="E28" s="60">
        <f>Financials!E13/Financials!E6</f>
        <v>0.16954581855622927</v>
      </c>
      <c r="F28" s="60">
        <f>Financials!F13/Financials!F6</f>
        <v>0.16743149554308354</v>
      </c>
      <c r="G28" s="60">
        <f>Financials!G13/Financials!G6</f>
        <v>0.16611735814915343</v>
      </c>
      <c r="H28" s="60">
        <f>Financials!H13/Financials!H6</f>
        <v>0.17399882598486824</v>
      </c>
      <c r="I28" s="60">
        <f>Financials!I13/Financials!I6</f>
        <v>0.2335887572128808</v>
      </c>
      <c r="J28" s="61">
        <f>AVERAGE(E28:I28)</f>
        <v>0.18213645108924306</v>
      </c>
    </row>
    <row r="29" spans="1:10" x14ac:dyDescent="0.35">
      <c r="A29" s="57" t="s">
        <v>71</v>
      </c>
      <c r="B29" s="57" t="s">
        <v>62</v>
      </c>
      <c r="C29" s="58" t="s">
        <v>134</v>
      </c>
      <c r="D29" s="59" t="s">
        <v>122</v>
      </c>
      <c r="E29" s="62">
        <f>Financials!E6/((Financials!E26+Financials!D26)/2)</f>
        <v>0.75328555218821369</v>
      </c>
      <c r="F29" s="62">
        <f>Financials!F6/((Financials!F26+Financials!E26)/2)</f>
        <v>0.84383248713287784</v>
      </c>
      <c r="G29" s="62">
        <f>Financials!G6/((Financials!G26+Financials!F26)/2)</f>
        <v>0.81675309766042514</v>
      </c>
      <c r="H29" s="62">
        <f>Financials!H6/((Financials!H26+Financials!G26)/2)</f>
        <v>0.77457815499646354</v>
      </c>
      <c r="I29" s="62">
        <f>Financials!I6/((Financials!I26+Financials!H26)/2)</f>
        <v>0.80786461237711538</v>
      </c>
      <c r="J29" s="63">
        <f>AVERAGE(E29:I29)</f>
        <v>0.7992627808710191</v>
      </c>
    </row>
    <row r="30" spans="1:10" x14ac:dyDescent="0.35">
      <c r="A30" s="57" t="s">
        <v>71</v>
      </c>
      <c r="B30" s="57" t="s">
        <v>64</v>
      </c>
      <c r="C30" s="58" t="s">
        <v>150</v>
      </c>
      <c r="D30" s="59" t="s">
        <v>122</v>
      </c>
      <c r="E30" s="62">
        <f>((Financials!E26+Financials!D26)/2)/((Financials!E37+Financials!D37)/2)</f>
        <v>1.4394583139504833</v>
      </c>
      <c r="F30" s="62">
        <f>((Financials!F26+Financials!E26)/2)/((Financials!F37+Financials!E37)/2)</f>
        <v>1.4450057867458361</v>
      </c>
      <c r="G30" s="62">
        <f>((Financials!G26+Financials!F26)/2)/((Financials!G37+Financials!F37)/2)</f>
        <v>1.4929374913811784</v>
      </c>
      <c r="H30" s="62">
        <f>((Financials!H26+Financials!G26)/2)/((Financials!H37+Financials!G37)/2)</f>
        <v>1.57376267143709</v>
      </c>
      <c r="I30" s="62">
        <f>((Financials!I26+Financials!H26)/2)/((Financials!I37+Financials!H37)/2)</f>
        <v>1.6262418357261492</v>
      </c>
      <c r="J30" s="63">
        <f>AVERAGE(E30:I30)</f>
        <v>1.5154812198481473</v>
      </c>
    </row>
    <row r="31" spans="1:10" x14ac:dyDescent="0.35">
      <c r="A31" s="57" t="s">
        <v>71</v>
      </c>
      <c r="B31" s="57" t="s">
        <v>151</v>
      </c>
      <c r="C31" s="58" t="s">
        <v>152</v>
      </c>
      <c r="D31" s="59" t="s">
        <v>122</v>
      </c>
      <c r="E31" s="60">
        <f>E28*E29*E30</f>
        <v>0.18384245619475889</v>
      </c>
      <c r="F31" s="60">
        <f>F28*F29*F30</f>
        <v>0.20415639309616065</v>
      </c>
      <c r="G31" s="60">
        <f>G28*G29*G30</f>
        <v>0.20255708122377417</v>
      </c>
      <c r="H31" s="60">
        <f>H28*H29*H30</f>
        <v>0.21210494931425161</v>
      </c>
      <c r="I31" s="60">
        <f>I28*I29*I30</f>
        <v>0.3068849920013042</v>
      </c>
      <c r="J31" s="61">
        <f>AVERAGE(E31:I31)</f>
        <v>0.2219091743660499</v>
      </c>
    </row>
    <row r="33" spans="1:10" x14ac:dyDescent="0.35">
      <c r="A33" s="23" t="s">
        <v>72</v>
      </c>
      <c r="B33" s="23" t="s">
        <v>116</v>
      </c>
      <c r="C33" s="23" t="s">
        <v>117</v>
      </c>
      <c r="D33" s="24" t="s">
        <v>79</v>
      </c>
      <c r="E33" s="24" t="s">
        <v>51</v>
      </c>
      <c r="F33" s="24" t="s">
        <v>52</v>
      </c>
      <c r="G33" s="24" t="s">
        <v>53</v>
      </c>
      <c r="H33" s="24" t="s">
        <v>54</v>
      </c>
      <c r="I33" s="24" t="s">
        <v>42</v>
      </c>
      <c r="J33" s="24" t="s">
        <v>118</v>
      </c>
    </row>
    <row r="34" spans="1:10" x14ac:dyDescent="0.35">
      <c r="A34" s="56" t="s">
        <v>72</v>
      </c>
      <c r="B34" s="49" t="s">
        <v>119</v>
      </c>
      <c r="C34" s="50"/>
      <c r="D34" s="50"/>
      <c r="E34" s="50"/>
      <c r="F34" s="50"/>
      <c r="G34" s="50"/>
      <c r="H34" s="50"/>
      <c r="I34" s="50"/>
      <c r="J34" s="50"/>
    </row>
    <row r="35" spans="1:10" x14ac:dyDescent="0.35">
      <c r="A35" s="57" t="s">
        <v>72</v>
      </c>
      <c r="B35" s="57" t="s">
        <v>120</v>
      </c>
      <c r="C35" s="58" t="s">
        <v>121</v>
      </c>
      <c r="D35" s="59" t="s">
        <v>122</v>
      </c>
      <c r="E35" s="60">
        <f>Financials!E44/Financials!D44-1</f>
        <v>0.23119556611243075</v>
      </c>
      <c r="F35" s="60">
        <f>Financials!F44/Financials!E44-1</f>
        <v>0.16941215269189547</v>
      </c>
      <c r="G35" s="60">
        <f>Financials!G44/Financials!F44-1</f>
        <v>-4.2118473187721217E-2</v>
      </c>
      <c r="H35" s="60">
        <f>Financials!H44/Financials!G44-1</f>
        <v>0.10879997644703532</v>
      </c>
      <c r="I35" s="60">
        <f>Financials!I44/Financials!H44-1</f>
        <v>4.7063977802265011E-2</v>
      </c>
      <c r="J35" s="61">
        <f>AVERAGE(E35:I35)</f>
        <v>0.10287063997318106</v>
      </c>
    </row>
    <row r="36" spans="1:10" x14ac:dyDescent="0.35">
      <c r="A36" s="57" t="s">
        <v>72</v>
      </c>
      <c r="B36" s="57" t="s">
        <v>123</v>
      </c>
      <c r="C36" s="58" t="s">
        <v>124</v>
      </c>
      <c r="D36" s="59" t="s">
        <v>122</v>
      </c>
      <c r="E36" s="60">
        <f>Financials!E51/Financials!D51-1</f>
        <v>0.15840992303668844</v>
      </c>
      <c r="F36" s="60">
        <f>Financials!F51/Financials!E51-1</f>
        <v>0.25633748306779336</v>
      </c>
      <c r="G36" s="60">
        <f>Financials!G51/Financials!F51-1</f>
        <v>6.5410484160804971E-2</v>
      </c>
      <c r="H36" s="60">
        <f>Financials!H51/Financials!G51-1</f>
        <v>0.68917160618765361</v>
      </c>
      <c r="I36" s="60">
        <f>Financials!I51/Financials!H51-1</f>
        <v>-0.40037658336186233</v>
      </c>
      <c r="J36" s="61">
        <f>AVERAGE(E36:I36)</f>
        <v>0.1537905826182156</v>
      </c>
    </row>
    <row r="37" spans="1:10" x14ac:dyDescent="0.35">
      <c r="A37" s="56" t="s">
        <v>72</v>
      </c>
      <c r="B37" s="49" t="s">
        <v>61</v>
      </c>
      <c r="C37" s="50"/>
      <c r="D37" s="50"/>
      <c r="E37" s="50"/>
      <c r="F37" s="50"/>
      <c r="G37" s="50"/>
      <c r="H37" s="50"/>
      <c r="I37" s="50"/>
      <c r="J37" s="50"/>
    </row>
    <row r="38" spans="1:10" x14ac:dyDescent="0.35">
      <c r="A38" s="57" t="s">
        <v>72</v>
      </c>
      <c r="B38" s="57" t="s">
        <v>125</v>
      </c>
      <c r="C38" s="58" t="s">
        <v>126</v>
      </c>
      <c r="D38" s="60">
        <f>Financials!D46/Financials!D44</f>
        <v>0.3464482205574842</v>
      </c>
      <c r="E38" s="60">
        <f>Financials!E46/Financials!E44</f>
        <v>0.34006101080056061</v>
      </c>
      <c r="F38" s="60">
        <f>Financials!F46/Financials!F44</f>
        <v>0.36244165879383522</v>
      </c>
      <c r="G38" s="60">
        <f>Financials!G46/Financials!G44</f>
        <v>0.37078254725313547</v>
      </c>
      <c r="H38" s="60">
        <f>Financials!H46/Financials!H44</f>
        <v>0.34294969663980457</v>
      </c>
      <c r="I38" s="60">
        <f>Financials!I46/Financials!I44</f>
        <v>0.34622407059897553</v>
      </c>
      <c r="J38" s="61">
        <f>AVERAGE(E38:I38)</f>
        <v>0.35249179681726223</v>
      </c>
    </row>
    <row r="39" spans="1:10" x14ac:dyDescent="0.35">
      <c r="A39" s="57" t="s">
        <v>72</v>
      </c>
      <c r="B39" s="57" t="s">
        <v>60</v>
      </c>
      <c r="C39" s="58" t="s">
        <v>127</v>
      </c>
      <c r="D39" s="60">
        <f>Financials!D51/Financials!D44</f>
        <v>0.27169742371642608</v>
      </c>
      <c r="E39" s="60">
        <f>Financials!E51/Financials!E44</f>
        <v>0.25563525434908074</v>
      </c>
      <c r="F39" s="60">
        <f>Financials!F51/Financials!F44</f>
        <v>0.27463726222873985</v>
      </c>
      <c r="G39" s="60">
        <f>Financials!G51/Financials!G44</f>
        <v>0.30546723193782016</v>
      </c>
      <c r="H39" s="60">
        <f>Financials!H51/Financials!H44</f>
        <v>0.46535586739774037</v>
      </c>
      <c r="I39" s="60">
        <f>Financials!I51/Financials!I44</f>
        <v>0.26649591722878735</v>
      </c>
      <c r="J39" s="61">
        <f>AVERAGE(E39:I39)</f>
        <v>0.31351830662843372</v>
      </c>
    </row>
    <row r="40" spans="1:10" x14ac:dyDescent="0.35">
      <c r="A40" s="57" t="s">
        <v>72</v>
      </c>
      <c r="B40" s="57" t="s">
        <v>128</v>
      </c>
      <c r="C40" s="58" t="s">
        <v>129</v>
      </c>
      <c r="D40" s="59" t="s">
        <v>122</v>
      </c>
      <c r="E40" s="60">
        <f>Financials!E51/((Financials!E75+Financials!D75)/2)</f>
        <v>0.25248774449927525</v>
      </c>
      <c r="F40" s="60">
        <f>Financials!F51/((Financials!F75+Financials!E75)/2)</f>
        <v>0.29598054859053263</v>
      </c>
      <c r="G40" s="60">
        <f>Financials!G51/((Financials!G75+Financials!F75)/2)</f>
        <v>0.2888864139438404</v>
      </c>
      <c r="H40" s="60">
        <f>Financials!H51/((Financials!H75+Financials!G75)/2)</f>
        <v>0.48502459577824364</v>
      </c>
      <c r="I40" s="60">
        <f>Financials!I51/((Financials!I75+Financials!H75)/2)</f>
        <v>0.2949128998084708</v>
      </c>
      <c r="J40" s="61">
        <f>AVERAGE(E40:I40)</f>
        <v>0.32345844052407252</v>
      </c>
    </row>
    <row r="41" spans="1:10" x14ac:dyDescent="0.35">
      <c r="A41" s="57" t="s">
        <v>72</v>
      </c>
      <c r="B41" s="57" t="s">
        <v>130</v>
      </c>
      <c r="C41" s="58" t="s">
        <v>131</v>
      </c>
      <c r="D41" s="59" t="s">
        <v>122</v>
      </c>
      <c r="E41" s="60">
        <f>Financials!E76/((Financials!E77+Financials!D77)/2)</f>
        <v>0.33732829503251649</v>
      </c>
      <c r="F41" s="60">
        <f>Financials!F76/((Financials!F77+Financials!E77)/2)</f>
        <v>0.3933416562630046</v>
      </c>
      <c r="G41" s="60">
        <f>Financials!G76/((Financials!G77+Financials!F77)/2)</f>
        <v>0.37429559648162142</v>
      </c>
      <c r="H41" s="60">
        <f>Financials!H76/((Financials!H77+Financials!G77)/2)</f>
        <v>0.57864599483204138</v>
      </c>
      <c r="I41" s="60">
        <f>Financials!I76/((Financials!I77+Financials!H77)/2)</f>
        <v>0.38724426907954085</v>
      </c>
      <c r="J41" s="61">
        <f>AVERAGE(E41:I41)</f>
        <v>0.41417116233774492</v>
      </c>
    </row>
    <row r="42" spans="1:10" x14ac:dyDescent="0.35">
      <c r="A42" s="57" t="s">
        <v>72</v>
      </c>
      <c r="B42" s="57" t="s">
        <v>132</v>
      </c>
      <c r="C42" s="58" t="s">
        <v>133</v>
      </c>
      <c r="D42" s="59" t="s">
        <v>122</v>
      </c>
      <c r="E42" s="60">
        <f>Financials!E51/((Financials!E64+Financials!D64)/2)</f>
        <v>0.2053962386639904</v>
      </c>
      <c r="F42" s="60">
        <f>Financials!F51/((Financials!F64+Financials!E64)/2)</f>
        <v>0.2389420157397241</v>
      </c>
      <c r="G42" s="60">
        <f>Financials!G51/((Financials!G64+Financials!F64)/2)</f>
        <v>0.23370348680061268</v>
      </c>
      <c r="H42" s="60">
        <f>Financials!H51/((Financials!H64+Financials!G64)/2)</f>
        <v>0.3899931574291961</v>
      </c>
      <c r="I42" s="60">
        <f>Financials!I51/((Financials!I64+Financials!H64)/2)</f>
        <v>0.23142479630037438</v>
      </c>
      <c r="J42" s="61">
        <f>AVERAGE(E42:I42)</f>
        <v>0.25989193898677954</v>
      </c>
    </row>
    <row r="43" spans="1:10" x14ac:dyDescent="0.35">
      <c r="A43" s="56" t="s">
        <v>72</v>
      </c>
      <c r="B43" s="49" t="s">
        <v>63</v>
      </c>
      <c r="C43" s="50"/>
      <c r="D43" s="50"/>
      <c r="E43" s="50"/>
      <c r="F43" s="50"/>
      <c r="G43" s="50"/>
      <c r="H43" s="50"/>
      <c r="I43" s="50"/>
      <c r="J43" s="50"/>
    </row>
    <row r="44" spans="1:10" x14ac:dyDescent="0.35">
      <c r="A44" s="57" t="s">
        <v>72</v>
      </c>
      <c r="B44" s="57" t="s">
        <v>68</v>
      </c>
      <c r="C44" s="58" t="s">
        <v>134</v>
      </c>
      <c r="D44" s="59" t="s">
        <v>122</v>
      </c>
      <c r="E44" s="62">
        <f>Financials!E44/((Financials!E64+Financials!D64)/2)</f>
        <v>0.80347383692044749</v>
      </c>
      <c r="F44" s="62">
        <f>Financials!F44/((Financials!F64+Financials!E64)/2)</f>
        <v>0.8700276641292547</v>
      </c>
      <c r="G44" s="62">
        <f>Financials!G44/((Financials!G64+Financials!F64)/2)</f>
        <v>0.76506892512838998</v>
      </c>
      <c r="H44" s="62">
        <f>Financials!H44/((Financials!H64+Financials!G64)/2)</f>
        <v>0.83805359457489836</v>
      </c>
      <c r="I44" s="62">
        <f>Financials!I44/((Financials!I64+Financials!H64)/2)</f>
        <v>0.86839903105042937</v>
      </c>
      <c r="J44" s="63">
        <f>AVERAGE(E44:I44)</f>
        <v>0.82900461036068385</v>
      </c>
    </row>
    <row r="45" spans="1:10" x14ac:dyDescent="0.35">
      <c r="A45" s="57" t="s">
        <v>72</v>
      </c>
      <c r="B45" s="57" t="s">
        <v>106</v>
      </c>
      <c r="C45" s="58" t="s">
        <v>135</v>
      </c>
      <c r="D45" s="64">
        <f>Financials!D71</f>
        <v>19</v>
      </c>
      <c r="E45" s="64">
        <f>Financials!E71</f>
        <v>15</v>
      </c>
      <c r="F45" s="64">
        <f>Financials!F71</f>
        <v>15</v>
      </c>
      <c r="G45" s="64">
        <f>Financials!G71</f>
        <v>22</v>
      </c>
      <c r="H45" s="64">
        <f>Financials!H71</f>
        <v>23</v>
      </c>
      <c r="I45" s="64">
        <f>Financials!I71</f>
        <v>18</v>
      </c>
      <c r="J45" s="65">
        <f>AVERAGE(E45:I45)</f>
        <v>18.600000000000001</v>
      </c>
    </row>
    <row r="46" spans="1:10" x14ac:dyDescent="0.35">
      <c r="A46" s="57" t="s">
        <v>72</v>
      </c>
      <c r="B46" s="57" t="s">
        <v>107</v>
      </c>
      <c r="C46" s="58" t="s">
        <v>135</v>
      </c>
      <c r="D46" s="64">
        <f>Financials!D72</f>
        <v>189</v>
      </c>
      <c r="E46" s="64">
        <f>Financials!E72</f>
        <v>150</v>
      </c>
      <c r="F46" s="64">
        <f>Financials!F72</f>
        <v>148</v>
      </c>
      <c r="G46" s="64">
        <f>Financials!G72</f>
        <v>191</v>
      </c>
      <c r="H46" s="64">
        <f>Financials!H72</f>
        <v>178</v>
      </c>
      <c r="I46" s="64">
        <f>Financials!I72</f>
        <v>209</v>
      </c>
      <c r="J46" s="65">
        <f>AVERAGE(E46:I46)</f>
        <v>175.2</v>
      </c>
    </row>
    <row r="47" spans="1:10" x14ac:dyDescent="0.35">
      <c r="A47" s="57" t="s">
        <v>72</v>
      </c>
      <c r="B47" s="57" t="s">
        <v>136</v>
      </c>
      <c r="C47" s="58" t="s">
        <v>135</v>
      </c>
      <c r="D47" s="64">
        <f>Financials!D73</f>
        <v>78</v>
      </c>
      <c r="E47" s="64">
        <f>Financials!E73</f>
        <v>61</v>
      </c>
      <c r="F47" s="64">
        <f>Financials!F73</f>
        <v>59</v>
      </c>
      <c r="G47" s="64">
        <f>Financials!G73</f>
        <v>65</v>
      </c>
      <c r="H47" s="64">
        <f>Financials!H73</f>
        <v>55</v>
      </c>
      <c r="I47" s="64">
        <f>Financials!I73</f>
        <v>63</v>
      </c>
      <c r="J47" s="65">
        <f>AVERAGE(E47:I47)</f>
        <v>60.6</v>
      </c>
    </row>
    <row r="48" spans="1:10" x14ac:dyDescent="0.35">
      <c r="A48" s="57" t="s">
        <v>72</v>
      </c>
      <c r="B48" s="57" t="s">
        <v>137</v>
      </c>
      <c r="C48" s="58" t="s">
        <v>138</v>
      </c>
      <c r="D48" s="66">
        <f t="shared" ref="D48:I48" si="1">D45+D46-D47</f>
        <v>130</v>
      </c>
      <c r="E48" s="66">
        <f t="shared" si="1"/>
        <v>104</v>
      </c>
      <c r="F48" s="66">
        <f t="shared" si="1"/>
        <v>104</v>
      </c>
      <c r="G48" s="66">
        <f t="shared" si="1"/>
        <v>148</v>
      </c>
      <c r="H48" s="66">
        <f t="shared" si="1"/>
        <v>146</v>
      </c>
      <c r="I48" s="66">
        <f t="shared" si="1"/>
        <v>164</v>
      </c>
      <c r="J48" s="65">
        <f>AVERAGE(E48:I48)</f>
        <v>133.19999999999999</v>
      </c>
    </row>
    <row r="49" spans="1:10" x14ac:dyDescent="0.35">
      <c r="A49" s="56" t="s">
        <v>72</v>
      </c>
      <c r="B49" s="49" t="s">
        <v>139</v>
      </c>
      <c r="C49" s="50"/>
      <c r="D49" s="50"/>
      <c r="E49" s="50"/>
      <c r="F49" s="50"/>
      <c r="G49" s="50"/>
      <c r="H49" s="50"/>
      <c r="I49" s="50"/>
      <c r="J49" s="50"/>
    </row>
    <row r="50" spans="1:10" x14ac:dyDescent="0.35">
      <c r="A50" s="57" t="s">
        <v>72</v>
      </c>
      <c r="B50" s="57" t="s">
        <v>49</v>
      </c>
      <c r="C50" s="58" t="s">
        <v>140</v>
      </c>
      <c r="D50" s="62">
        <f>Financials!D57/Financials!D75</f>
        <v>4.490695477819941E-3</v>
      </c>
      <c r="E50" s="62">
        <f>Financials!E57/Financials!E75</f>
        <v>3.9868705467936911E-3</v>
      </c>
      <c r="F50" s="62">
        <f>Financials!F57/Financials!F75</f>
        <v>4.4248427445593231E-3</v>
      </c>
      <c r="G50" s="62">
        <f>Financials!G57/Financials!G75</f>
        <v>4.066731984914169E-3</v>
      </c>
      <c r="H50" s="62">
        <f>Financials!H57/Financials!H75</f>
        <v>4.0696844209624451E-3</v>
      </c>
      <c r="I50" s="62">
        <f>Financials!I57/Financials!I75</f>
        <v>3.3086460617595542E-2</v>
      </c>
      <c r="J50" s="63">
        <f>AVERAGE(E50:I50)</f>
        <v>9.9269180629650341E-3</v>
      </c>
    </row>
    <row r="51" spans="1:10" x14ac:dyDescent="0.35">
      <c r="A51" s="57" t="s">
        <v>72</v>
      </c>
      <c r="B51" s="57" t="s">
        <v>141</v>
      </c>
      <c r="C51" s="58" t="s">
        <v>142</v>
      </c>
      <c r="D51" s="62">
        <f>IFERROR(Financials!D76/Financials!D48,0)</f>
        <v>310.27586206896552</v>
      </c>
      <c r="E51" s="62">
        <f>IFERROR(Financials!E76/Financials!E48,0)</f>
        <v>346.66666666666669</v>
      </c>
      <c r="F51" s="62">
        <f>IFERROR(Financials!F76/Financials!F48,0)</f>
        <v>333.24358974358972</v>
      </c>
      <c r="G51" s="62">
        <f>IFERROR(Financials!G76/Financials!G48,0)</f>
        <v>692.30769230769226</v>
      </c>
      <c r="H51" s="62">
        <f>IFERROR(Financials!H76/Financials!H48,0)</f>
        <v>933.06666666666672</v>
      </c>
      <c r="I51" s="62">
        <f>IFERROR(Financials!I76/Financials!I48,0)</f>
        <v>330.8</v>
      </c>
      <c r="J51" s="63">
        <f>AVERAGE(E51:I51)</f>
        <v>527.21692307692308</v>
      </c>
    </row>
    <row r="52" spans="1:10" x14ac:dyDescent="0.35">
      <c r="A52" s="56" t="s">
        <v>72</v>
      </c>
      <c r="B52" s="49" t="s">
        <v>143</v>
      </c>
      <c r="C52" s="50"/>
      <c r="D52" s="50"/>
      <c r="E52" s="50"/>
      <c r="F52" s="50"/>
      <c r="G52" s="50"/>
      <c r="H52" s="50"/>
      <c r="I52" s="50"/>
      <c r="J52" s="50"/>
    </row>
    <row r="53" spans="1:10" x14ac:dyDescent="0.35">
      <c r="A53" s="57" t="s">
        <v>72</v>
      </c>
      <c r="B53" s="57" t="s">
        <v>144</v>
      </c>
      <c r="C53" s="58" t="s">
        <v>145</v>
      </c>
      <c r="D53" s="62">
        <f>Financials!D66/Financials!D51</f>
        <v>0.93603825749084657</v>
      </c>
      <c r="E53" s="62">
        <f>Financials!E66/Financials!E51</f>
        <v>1.017609494936464</v>
      </c>
      <c r="F53" s="62">
        <f>Financials!F66/Financials!F51</f>
        <v>0.96924577707039072</v>
      </c>
      <c r="G53" s="62">
        <f>Financials!G66/Financials!G51</f>
        <v>0.82786371741120912</v>
      </c>
      <c r="H53" s="62">
        <f>Financials!H66/Financials!H51</f>
        <v>0.50288143329909851</v>
      </c>
      <c r="I53" s="62">
        <f>Financials!I66/Financials!I51</f>
        <v>0.87848510800266433</v>
      </c>
      <c r="J53" s="63">
        <f>AVERAGE(E53:I53)</f>
        <v>0.83921710614396527</v>
      </c>
    </row>
    <row r="54" spans="1:10" x14ac:dyDescent="0.35">
      <c r="A54" s="57" t="s">
        <v>72</v>
      </c>
      <c r="B54" s="57" t="s">
        <v>146</v>
      </c>
      <c r="C54" s="58" t="s">
        <v>147</v>
      </c>
      <c r="D54" s="60">
        <f>Financials!D69/Financials!D44</f>
        <v>0.21708589642081327</v>
      </c>
      <c r="E54" s="60">
        <f>Financials!E69/Financials!E44</f>
        <v>0.22700964630225082</v>
      </c>
      <c r="F54" s="60">
        <f>Financials!F69/Financials!F44</f>
        <v>0.22820400738871108</v>
      </c>
      <c r="G54" s="60">
        <f>Financials!G69/Financials!G44</f>
        <v>0.20202555496673144</v>
      </c>
      <c r="H54" s="60">
        <f>Financials!H69/Financials!H44</f>
        <v>0.20609906668613837</v>
      </c>
      <c r="I54" s="60">
        <f>Financials!I69/Financials!I44</f>
        <v>0.20708018461226352</v>
      </c>
      <c r="J54" s="61">
        <f>AVERAGE(E54:I54)</f>
        <v>0.21408369199121902</v>
      </c>
    </row>
    <row r="55" spans="1:10" x14ac:dyDescent="0.35">
      <c r="A55" s="57" t="s">
        <v>72</v>
      </c>
      <c r="B55" s="57" t="s">
        <v>148</v>
      </c>
      <c r="C55" s="58" t="s">
        <v>135</v>
      </c>
      <c r="D55" s="67">
        <f>Financials!D53</f>
        <v>1.01</v>
      </c>
      <c r="E55" s="67">
        <f>Financials!E53</f>
        <v>0.93</v>
      </c>
      <c r="F55" s="67">
        <f>Financials!F53</f>
        <v>1</v>
      </c>
      <c r="G55" s="67">
        <f>Financials!G53</f>
        <v>0.84</v>
      </c>
      <c r="H55" s="67">
        <f>Financials!H53</f>
        <v>0.52</v>
      </c>
      <c r="I55" s="67">
        <f>Financials!I53</f>
        <v>0.88</v>
      </c>
      <c r="J55" s="61">
        <f>AVERAGE(E55:I55)</f>
        <v>0.83399999999999996</v>
      </c>
    </row>
    <row r="56" spans="1:10" x14ac:dyDescent="0.35">
      <c r="A56" s="56" t="s">
        <v>72</v>
      </c>
      <c r="B56" s="49" t="s">
        <v>149</v>
      </c>
      <c r="C56" s="50"/>
      <c r="D56" s="50"/>
      <c r="E56" s="50"/>
      <c r="F56" s="50"/>
      <c r="G56" s="50"/>
      <c r="H56" s="50"/>
      <c r="I56" s="50"/>
      <c r="J56" s="50"/>
    </row>
    <row r="57" spans="1:10" x14ac:dyDescent="0.35">
      <c r="A57" s="57" t="s">
        <v>72</v>
      </c>
      <c r="B57" s="57" t="s">
        <v>60</v>
      </c>
      <c r="C57" s="58" t="s">
        <v>127</v>
      </c>
      <c r="D57" s="60">
        <f>Financials!D51/Financials!D44</f>
        <v>0.27169742371642608</v>
      </c>
      <c r="E57" s="60">
        <f>Financials!E51/Financials!E44</f>
        <v>0.25563525434908074</v>
      </c>
      <c r="F57" s="60">
        <f>Financials!F51/Financials!F44</f>
        <v>0.27463726222873985</v>
      </c>
      <c r="G57" s="60">
        <f>Financials!G51/Financials!G44</f>
        <v>0.30546723193782016</v>
      </c>
      <c r="H57" s="60">
        <f>Financials!H51/Financials!H44</f>
        <v>0.46535586739774037</v>
      </c>
      <c r="I57" s="60">
        <f>Financials!I51/Financials!I44</f>
        <v>0.26649591722878735</v>
      </c>
      <c r="J57" s="61">
        <f>AVERAGE(E57:I57)</f>
        <v>0.31351830662843372</v>
      </c>
    </row>
    <row r="58" spans="1:10" x14ac:dyDescent="0.35">
      <c r="A58" s="57" t="s">
        <v>72</v>
      </c>
      <c r="B58" s="57" t="s">
        <v>62</v>
      </c>
      <c r="C58" s="58" t="s">
        <v>134</v>
      </c>
      <c r="D58" s="59" t="s">
        <v>122</v>
      </c>
      <c r="E58" s="62">
        <f>Financials!E44/((Financials!E64+Financials!D64)/2)</f>
        <v>0.80347383692044749</v>
      </c>
      <c r="F58" s="62">
        <f>Financials!F44/((Financials!F64+Financials!E64)/2)</f>
        <v>0.8700276641292547</v>
      </c>
      <c r="G58" s="62">
        <f>Financials!G44/((Financials!G64+Financials!F64)/2)</f>
        <v>0.76506892512838998</v>
      </c>
      <c r="H58" s="62">
        <f>Financials!H44/((Financials!H64+Financials!G64)/2)</f>
        <v>0.83805359457489836</v>
      </c>
      <c r="I58" s="62">
        <f>Financials!I44/((Financials!I64+Financials!H64)/2)</f>
        <v>0.86839903105042937</v>
      </c>
      <c r="J58" s="63">
        <f>AVERAGE(E58:I58)</f>
        <v>0.82900461036068385</v>
      </c>
    </row>
    <row r="59" spans="1:10" x14ac:dyDescent="0.35">
      <c r="A59" s="57" t="s">
        <v>72</v>
      </c>
      <c r="B59" s="57" t="s">
        <v>64</v>
      </c>
      <c r="C59" s="58" t="s">
        <v>150</v>
      </c>
      <c r="D59" s="59" t="s">
        <v>122</v>
      </c>
      <c r="E59" s="62">
        <f>((Financials!E64+Financials!D64)/2)/((Financials!E75+Financials!D75)/2)</f>
        <v>1.2292715102359897</v>
      </c>
      <c r="F59" s="62">
        <f>((Financials!F64+Financials!E64)/2)/((Financials!F75+Financials!E75)/2)</f>
        <v>1.2387128637641516</v>
      </c>
      <c r="G59" s="62">
        <f>((Financials!G64+Financials!F64)/2)/((Financials!G75+Financials!F75)/2)</f>
        <v>1.2361236791914354</v>
      </c>
      <c r="H59" s="62">
        <f>((Financials!H64+Financials!G64)/2)/((Financials!H75+Financials!G75)/2)</f>
        <v>1.2436746300255297</v>
      </c>
      <c r="I59" s="62">
        <f>((Financials!I64+Financials!H64)/2)/((Financials!I75+Financials!H75)/2)</f>
        <v>1.2743357864975411</v>
      </c>
      <c r="J59" s="63">
        <f>AVERAGE(E59:I59)</f>
        <v>1.2444236939429296</v>
      </c>
    </row>
    <row r="60" spans="1:10" x14ac:dyDescent="0.35">
      <c r="A60" s="57" t="s">
        <v>72</v>
      </c>
      <c r="B60" s="57" t="s">
        <v>151</v>
      </c>
      <c r="C60" s="58" t="s">
        <v>152</v>
      </c>
      <c r="D60" s="59" t="s">
        <v>122</v>
      </c>
      <c r="E60" s="60">
        <f>E57*E58*E59</f>
        <v>0.2524877444992753</v>
      </c>
      <c r="F60" s="60">
        <f>F57*F58*F59</f>
        <v>0.29598054859053263</v>
      </c>
      <c r="G60" s="60">
        <f>G57*G58*G59</f>
        <v>0.2888864139438404</v>
      </c>
      <c r="H60" s="60">
        <f>H57*H58*H59</f>
        <v>0.48502459577824364</v>
      </c>
      <c r="I60" s="60">
        <f>I57*I58*I59</f>
        <v>0.2949128998084708</v>
      </c>
      <c r="J60" s="61">
        <f>AVERAGE(E60:I60)</f>
        <v>0.32345844052407252</v>
      </c>
    </row>
    <row r="62" spans="1:10" x14ac:dyDescent="0.35">
      <c r="A62" s="23" t="s">
        <v>73</v>
      </c>
      <c r="B62" s="23" t="s">
        <v>116</v>
      </c>
      <c r="C62" s="23" t="s">
        <v>117</v>
      </c>
      <c r="D62" s="24" t="s">
        <v>79</v>
      </c>
      <c r="E62" s="24" t="s">
        <v>51</v>
      </c>
      <c r="F62" s="24" t="s">
        <v>52</v>
      </c>
      <c r="G62" s="24" t="s">
        <v>53</v>
      </c>
      <c r="H62" s="24" t="s">
        <v>54</v>
      </c>
      <c r="I62" s="24" t="s">
        <v>42</v>
      </c>
      <c r="J62" s="24" t="s">
        <v>118</v>
      </c>
    </row>
    <row r="63" spans="1:10" x14ac:dyDescent="0.35">
      <c r="A63" s="56" t="s">
        <v>73</v>
      </c>
      <c r="B63" s="49" t="s">
        <v>119</v>
      </c>
      <c r="C63" s="50"/>
      <c r="D63" s="50"/>
      <c r="E63" s="50"/>
      <c r="F63" s="50"/>
      <c r="G63" s="50"/>
      <c r="H63" s="50"/>
      <c r="I63" s="50"/>
      <c r="J63" s="50"/>
    </row>
    <row r="64" spans="1:10" x14ac:dyDescent="0.35">
      <c r="A64" s="57" t="s">
        <v>73</v>
      </c>
      <c r="B64" s="57" t="s">
        <v>120</v>
      </c>
      <c r="C64" s="58" t="s">
        <v>121</v>
      </c>
      <c r="D64" s="59" t="s">
        <v>122</v>
      </c>
      <c r="E64" s="60">
        <f>Financials!E82/Financials!D82-1</f>
        <v>0.13877849822212918</v>
      </c>
      <c r="F64" s="60">
        <f>Financials!F82/Financials!E82-1</f>
        <v>5.8866746257691283E-2</v>
      </c>
      <c r="G64" s="60">
        <f>Financials!G82/Financials!F82-1</f>
        <v>7.5802254986990558E-2</v>
      </c>
      <c r="H64" s="60">
        <f>Financials!H82/Financials!G82-1</f>
        <v>1.2818445662689415E-2</v>
      </c>
      <c r="I64" s="60">
        <f>Financials!I82/Financials!H82-1</f>
        <v>5.0147257820584157E-2</v>
      </c>
      <c r="J64" s="61">
        <f>AVERAGE(E64:I64)</f>
        <v>6.7282640590016915E-2</v>
      </c>
    </row>
    <row r="65" spans="1:10" x14ac:dyDescent="0.35">
      <c r="A65" s="57" t="s">
        <v>73</v>
      </c>
      <c r="B65" s="57" t="s">
        <v>123</v>
      </c>
      <c r="C65" s="58" t="s">
        <v>124</v>
      </c>
      <c r="D65" s="59" t="s">
        <v>122</v>
      </c>
      <c r="E65" s="60">
        <f>Financials!E89/Financials!D89-1</f>
        <v>2.7728613569321547E-2</v>
      </c>
      <c r="F65" s="60">
        <f>Financials!F89/Financials!E89-1</f>
        <v>-2.3536165327210146E-2</v>
      </c>
      <c r="G65" s="60">
        <f>Financials!G89/Financials!F89-1</f>
        <v>6.4667842445620183E-2</v>
      </c>
      <c r="H65" s="60">
        <f>Financials!H89/Financials!G89-1</f>
        <v>-3.9204859193815556E-2</v>
      </c>
      <c r="I65" s="60">
        <f>Financials!I89/Financials!H89-1</f>
        <v>7.413793103448274E-2</v>
      </c>
      <c r="J65" s="61">
        <f>AVERAGE(E65:I65)</f>
        <v>2.0758672505679754E-2</v>
      </c>
    </row>
    <row r="66" spans="1:10" x14ac:dyDescent="0.35">
      <c r="A66" s="56" t="s">
        <v>73</v>
      </c>
      <c r="B66" s="49" t="s">
        <v>61</v>
      </c>
      <c r="C66" s="50"/>
      <c r="D66" s="50"/>
      <c r="E66" s="50"/>
      <c r="F66" s="50"/>
      <c r="G66" s="50"/>
      <c r="H66" s="50"/>
      <c r="I66" s="50"/>
      <c r="J66" s="50"/>
    </row>
    <row r="67" spans="1:10" x14ac:dyDescent="0.35">
      <c r="A67" s="57" t="s">
        <v>73</v>
      </c>
      <c r="B67" s="57" t="s">
        <v>125</v>
      </c>
      <c r="C67" s="58" t="s">
        <v>126</v>
      </c>
      <c r="D67" s="60">
        <f>Financials!D84/Financials!D82</f>
        <v>0.20937042459736457</v>
      </c>
      <c r="E67" s="60">
        <f>Financials!E84/Financials!E82</f>
        <v>0.20681421618146753</v>
      </c>
      <c r="F67" s="60">
        <f>Financials!F84/Financials!F82</f>
        <v>0.18751084128360798</v>
      </c>
      <c r="G67" s="60">
        <f>Financials!G84/Financials!G82</f>
        <v>0.19348597226701064</v>
      </c>
      <c r="H67" s="60">
        <f>Financials!H84/Financials!H82</f>
        <v>0.1843508716071002</v>
      </c>
      <c r="I67" s="60">
        <f>Financials!I84/Financials!I82</f>
        <v>0.18570454028651559</v>
      </c>
      <c r="J67" s="61">
        <f>AVERAGE(E67:I67)</f>
        <v>0.1915732883251404</v>
      </c>
    </row>
    <row r="68" spans="1:10" x14ac:dyDescent="0.35">
      <c r="A68" s="57" t="s">
        <v>73</v>
      </c>
      <c r="B68" s="57" t="s">
        <v>60</v>
      </c>
      <c r="C68" s="58" t="s">
        <v>127</v>
      </c>
      <c r="D68" s="60">
        <f>Financials!D89/Financials!D82</f>
        <v>0.17726417067559089</v>
      </c>
      <c r="E68" s="60">
        <f>Financials!E89/Financials!E82</f>
        <v>0.15997795940857745</v>
      </c>
      <c r="F68" s="60">
        <f>Financials!F89/Financials!F82</f>
        <v>0.14752818733738074</v>
      </c>
      <c r="G68" s="60">
        <f>Financials!G89/Financials!G82</f>
        <v>0.14600128990648178</v>
      </c>
      <c r="H68" s="60">
        <f>Financials!H89/Financials!H82</f>
        <v>0.13850195017113748</v>
      </c>
      <c r="I68" s="60">
        <f>Financials!I89/Financials!I82</f>
        <v>0.14166603501857045</v>
      </c>
      <c r="J68" s="61">
        <f>AVERAGE(E68:I68)</f>
        <v>0.14673508436842958</v>
      </c>
    </row>
    <row r="69" spans="1:10" x14ac:dyDescent="0.35">
      <c r="A69" s="57" t="s">
        <v>73</v>
      </c>
      <c r="B69" s="57" t="s">
        <v>128</v>
      </c>
      <c r="C69" s="58" t="s">
        <v>129</v>
      </c>
      <c r="D69" s="59" t="s">
        <v>122</v>
      </c>
      <c r="E69" s="60">
        <f>Financials!E89/((Financials!E113+Financials!D113)/2)</f>
        <v>0.21712576343013834</v>
      </c>
      <c r="F69" s="60">
        <f>Financials!F89/((Financials!F113+Financials!E113)/2)</f>
        <v>0.19602420051858255</v>
      </c>
      <c r="G69" s="60">
        <f>Financials!G89/((Financials!G113+Financials!F113)/2)</f>
        <v>0.19226073570784011</v>
      </c>
      <c r="H69" s="60">
        <f>Financials!H89/((Financials!H113+Financials!G113)/2)</f>
        <v>0.16839252879125133</v>
      </c>
      <c r="I69" s="60">
        <f>Financials!I89/((Financials!I113+Financials!H113)/2)</f>
        <v>0.16823439398712814</v>
      </c>
      <c r="J69" s="61">
        <f>AVERAGE(E69:I69)</f>
        <v>0.18840752448698811</v>
      </c>
    </row>
    <row r="70" spans="1:10" x14ac:dyDescent="0.35">
      <c r="A70" s="57" t="s">
        <v>73</v>
      </c>
      <c r="B70" s="57" t="s">
        <v>130</v>
      </c>
      <c r="C70" s="58" t="s">
        <v>131</v>
      </c>
      <c r="D70" s="59" t="s">
        <v>122</v>
      </c>
      <c r="E70" s="60">
        <f>Financials!E114/((Financials!E115+Financials!D115)/2)</f>
        <v>0.26249644583451803</v>
      </c>
      <c r="F70" s="60">
        <f>Financials!F114/((Financials!F115+Financials!E115)/2)</f>
        <v>0.23487908379774017</v>
      </c>
      <c r="G70" s="60">
        <f>Financials!G114/((Financials!G115+Financials!F115)/2)</f>
        <v>0.23229488258957806</v>
      </c>
      <c r="H70" s="60">
        <f>Financials!H114/((Financials!H115+Financials!G115)/2)</f>
        <v>0.21078282059092293</v>
      </c>
      <c r="I70" s="60">
        <f>Financials!I114/((Financials!I115+Financials!H115)/2)</f>
        <v>0.20976447497546613</v>
      </c>
      <c r="J70" s="61">
        <f>AVERAGE(E70:I70)</f>
        <v>0.23004354155764509</v>
      </c>
    </row>
    <row r="71" spans="1:10" x14ac:dyDescent="0.35">
      <c r="A71" s="57" t="s">
        <v>73</v>
      </c>
      <c r="B71" s="57" t="s">
        <v>132</v>
      </c>
      <c r="C71" s="58" t="s">
        <v>133</v>
      </c>
      <c r="D71" s="59" t="s">
        <v>122</v>
      </c>
      <c r="E71" s="60">
        <f>Financials!E89/((Financials!E102+Financials!D102)/2)</f>
        <v>0.15070507829397006</v>
      </c>
      <c r="F71" s="60">
        <f>Financials!F89/((Financials!F102+Financials!E102)/2)</f>
        <v>0.13116397424528667</v>
      </c>
      <c r="G71" s="60">
        <f>Financials!G89/((Financials!G102+Financials!F102)/2)</f>
        <v>0.12590378197997776</v>
      </c>
      <c r="H71" s="60">
        <f>Financials!H89/((Financials!H102+Financials!G102)/2)</f>
        <v>0.11101894978625662</v>
      </c>
      <c r="I71" s="60">
        <f>Financials!I89/((Financials!I102+Financials!H102)/2)</f>
        <v>0.11088697715811333</v>
      </c>
      <c r="J71" s="61">
        <f>AVERAGE(E71:I71)</f>
        <v>0.12593575229272089</v>
      </c>
    </row>
    <row r="72" spans="1:10" x14ac:dyDescent="0.35">
      <c r="A72" s="56" t="s">
        <v>73</v>
      </c>
      <c r="B72" s="49" t="s">
        <v>63</v>
      </c>
      <c r="C72" s="50"/>
      <c r="D72" s="50"/>
      <c r="E72" s="50"/>
      <c r="F72" s="50"/>
      <c r="G72" s="50"/>
      <c r="H72" s="50"/>
      <c r="I72" s="50"/>
      <c r="J72" s="50"/>
    </row>
    <row r="73" spans="1:10" x14ac:dyDescent="0.35">
      <c r="A73" s="57" t="s">
        <v>73</v>
      </c>
      <c r="B73" s="57" t="s">
        <v>68</v>
      </c>
      <c r="C73" s="58" t="s">
        <v>134</v>
      </c>
      <c r="D73" s="59" t="s">
        <v>122</v>
      </c>
      <c r="E73" s="62">
        <f>Financials!E82/((Financials!E102+Financials!D102)/2)</f>
        <v>0.94203650834847308</v>
      </c>
      <c r="F73" s="62">
        <f>Financials!F82/((Financials!F102+Financials!E102)/2)</f>
        <v>0.88907737980491186</v>
      </c>
      <c r="G73" s="62">
        <f>Financials!G82/((Financials!G102+Financials!F102)/2)</f>
        <v>0.8623470522803115</v>
      </c>
      <c r="H73" s="62">
        <f>Financials!H82/((Financials!H102+Financials!G102)/2)</f>
        <v>0.80156957825559882</v>
      </c>
      <c r="I73" s="62">
        <f>Financials!I82/((Financials!I102+Financials!H102)/2)</f>
        <v>0.78273509344408188</v>
      </c>
      <c r="J73" s="63">
        <f>AVERAGE(E73:I73)</f>
        <v>0.85555312242667525</v>
      </c>
    </row>
    <row r="74" spans="1:10" x14ac:dyDescent="0.35">
      <c r="A74" s="57" t="s">
        <v>73</v>
      </c>
      <c r="B74" s="57" t="s">
        <v>106</v>
      </c>
      <c r="C74" s="58" t="s">
        <v>135</v>
      </c>
      <c r="D74" s="64">
        <f>Financials!D109</f>
        <v>21</v>
      </c>
      <c r="E74" s="64">
        <f>Financials!E109</f>
        <v>22</v>
      </c>
      <c r="F74" s="64">
        <f>Financials!F109</f>
        <v>27</v>
      </c>
      <c r="G74" s="64">
        <f>Financials!G109</f>
        <v>26</v>
      </c>
      <c r="H74" s="64">
        <f>Financials!H109</f>
        <v>26</v>
      </c>
      <c r="I74" s="64">
        <f>Financials!I109</f>
        <v>20</v>
      </c>
      <c r="J74" s="65">
        <f>AVERAGE(E74:I74)</f>
        <v>24.2</v>
      </c>
    </row>
    <row r="75" spans="1:10" x14ac:dyDescent="0.35">
      <c r="A75" s="57" t="s">
        <v>73</v>
      </c>
      <c r="B75" s="57" t="s">
        <v>107</v>
      </c>
      <c r="C75" s="58" t="s">
        <v>135</v>
      </c>
      <c r="D75" s="64">
        <f>Financials!D110</f>
        <v>178</v>
      </c>
      <c r="E75" s="64">
        <f>Financials!E110</f>
        <v>169</v>
      </c>
      <c r="F75" s="64">
        <f>Financials!F110</f>
        <v>158</v>
      </c>
      <c r="G75" s="64">
        <f>Financials!G110</f>
        <v>149</v>
      </c>
      <c r="H75" s="64">
        <f>Financials!H110</f>
        <v>175</v>
      </c>
      <c r="I75" s="64">
        <f>Financials!I110</f>
        <v>166</v>
      </c>
      <c r="J75" s="65">
        <f>AVERAGE(E75:I75)</f>
        <v>163.4</v>
      </c>
    </row>
    <row r="76" spans="1:10" x14ac:dyDescent="0.35">
      <c r="A76" s="57" t="s">
        <v>73</v>
      </c>
      <c r="B76" s="57" t="s">
        <v>136</v>
      </c>
      <c r="C76" s="58" t="s">
        <v>135</v>
      </c>
      <c r="D76" s="64">
        <f>Financials!D111</f>
        <v>197</v>
      </c>
      <c r="E76" s="64">
        <f>Financials!E111</f>
        <v>178</v>
      </c>
      <c r="F76" s="64">
        <f>Financials!F111</f>
        <v>171</v>
      </c>
      <c r="G76" s="64">
        <f>Financials!G111</f>
        <v>186</v>
      </c>
      <c r="H76" s="64">
        <f>Financials!H111</f>
        <v>215</v>
      </c>
      <c r="I76" s="64">
        <f>Financials!I111</f>
        <v>212</v>
      </c>
      <c r="J76" s="65">
        <f>AVERAGE(E76:I76)</f>
        <v>192.4</v>
      </c>
    </row>
    <row r="77" spans="1:10" x14ac:dyDescent="0.35">
      <c r="A77" s="57" t="s">
        <v>73</v>
      </c>
      <c r="B77" s="57" t="s">
        <v>137</v>
      </c>
      <c r="C77" s="58" t="s">
        <v>138</v>
      </c>
      <c r="D77" s="66">
        <f t="shared" ref="D77:I77" si="2">D74+D75-D76</f>
        <v>2</v>
      </c>
      <c r="E77" s="66">
        <f t="shared" si="2"/>
        <v>13</v>
      </c>
      <c r="F77" s="66">
        <f t="shared" si="2"/>
        <v>14</v>
      </c>
      <c r="G77" s="66">
        <f t="shared" si="2"/>
        <v>-11</v>
      </c>
      <c r="H77" s="66">
        <f t="shared" si="2"/>
        <v>-14</v>
      </c>
      <c r="I77" s="66">
        <f t="shared" si="2"/>
        <v>-26</v>
      </c>
      <c r="J77" s="65">
        <f>AVERAGE(E77:I77)</f>
        <v>-4.8</v>
      </c>
    </row>
    <row r="78" spans="1:10" x14ac:dyDescent="0.35">
      <c r="A78" s="56" t="s">
        <v>73</v>
      </c>
      <c r="B78" s="49" t="s">
        <v>139</v>
      </c>
      <c r="C78" s="50"/>
      <c r="D78" s="50"/>
      <c r="E78" s="50"/>
      <c r="F78" s="50"/>
      <c r="G78" s="50"/>
      <c r="H78" s="50"/>
      <c r="I78" s="50"/>
      <c r="J78" s="50"/>
    </row>
    <row r="79" spans="1:10" x14ac:dyDescent="0.35">
      <c r="A79" s="57" t="s">
        <v>73</v>
      </c>
      <c r="B79" s="57" t="s">
        <v>49</v>
      </c>
      <c r="C79" s="58" t="s">
        <v>140</v>
      </c>
      <c r="D79" s="62">
        <f>Financials!D95/Financials!D113</f>
        <v>6.641440501043841E-2</v>
      </c>
      <c r="E79" s="62">
        <f>Financials!E95/Financials!E113</f>
        <v>0.12288236697685516</v>
      </c>
      <c r="F79" s="62">
        <f>Financials!F95/Financials!F113</f>
        <v>0.13083695531037556</v>
      </c>
      <c r="G79" s="62">
        <f>Financials!G95/Financials!G113</f>
        <v>0.13835394283397526</v>
      </c>
      <c r="H79" s="62">
        <f>Financials!H95/Financials!H113</f>
        <v>8.7962962962962965E-2</v>
      </c>
      <c r="I79" s="62">
        <f>Financials!I95/Financials!I113</f>
        <v>0.11270689202206849</v>
      </c>
      <c r="J79" s="63">
        <f>AVERAGE(E79:I79)</f>
        <v>0.11854862402124748</v>
      </c>
    </row>
    <row r="80" spans="1:10" x14ac:dyDescent="0.35">
      <c r="A80" s="57" t="s">
        <v>73</v>
      </c>
      <c r="B80" s="57" t="s">
        <v>141</v>
      </c>
      <c r="C80" s="58" t="s">
        <v>142</v>
      </c>
      <c r="D80" s="62">
        <f>IFERROR(Financials!D114/Financials!D86,0)</f>
        <v>67.322580645161295</v>
      </c>
      <c r="E80" s="62">
        <f>IFERROR(Financials!E114/Financials!E86,0)</f>
        <v>59.179487179487182</v>
      </c>
      <c r="F80" s="62">
        <f>IFERROR(Financials!F114/Financials!F86,0)</f>
        <v>29.448717948717949</v>
      </c>
      <c r="G80" s="62">
        <f>IFERROR(Financials!G114/Financials!G86,0)</f>
        <v>20.024193548387096</v>
      </c>
      <c r="H80" s="62">
        <f>IFERROR(Financials!H114/Financials!H86,0)</f>
        <v>14.768292682926829</v>
      </c>
      <c r="I80" s="62">
        <f>IFERROR(Financials!I114/Financials!I86,0)</f>
        <v>17.689655172413794</v>
      </c>
      <c r="J80" s="63">
        <f>AVERAGE(E80:I80)</f>
        <v>28.222069306386572</v>
      </c>
    </row>
    <row r="81" spans="1:10" x14ac:dyDescent="0.35">
      <c r="A81" s="56" t="s">
        <v>73</v>
      </c>
      <c r="B81" s="49" t="s">
        <v>143</v>
      </c>
      <c r="C81" s="50"/>
      <c r="D81" s="50"/>
      <c r="E81" s="50"/>
      <c r="F81" s="50"/>
      <c r="G81" s="50"/>
      <c r="H81" s="50"/>
      <c r="I81" s="50"/>
      <c r="J81" s="50"/>
    </row>
    <row r="82" spans="1:10" x14ac:dyDescent="0.35">
      <c r="A82" s="57" t="s">
        <v>73</v>
      </c>
      <c r="B82" s="57" t="s">
        <v>144</v>
      </c>
      <c r="C82" s="58" t="s">
        <v>145</v>
      </c>
      <c r="D82" s="62">
        <f>Financials!D104/Financials!D89</f>
        <v>1.247787610619469</v>
      </c>
      <c r="E82" s="62">
        <f>Financials!E104/Financials!E89</f>
        <v>1.034443168771527</v>
      </c>
      <c r="F82" s="62">
        <f>Financials!F104/Financials!F89</f>
        <v>0.87477954144620806</v>
      </c>
      <c r="G82" s="62">
        <f>Financials!G104/Financials!G89</f>
        <v>1.1115405853119824</v>
      </c>
      <c r="H82" s="62">
        <f>Financials!H104/Financials!H89</f>
        <v>1.1419540229885057</v>
      </c>
      <c r="I82" s="62">
        <f>Financials!I104/Financials!I89</f>
        <v>1.3798822899946495</v>
      </c>
      <c r="J82" s="63">
        <f>AVERAGE(E82:I82)</f>
        <v>1.1085199217025745</v>
      </c>
    </row>
    <row r="83" spans="1:10" x14ac:dyDescent="0.35">
      <c r="A83" s="57" t="s">
        <v>73</v>
      </c>
      <c r="B83" s="57" t="s">
        <v>146</v>
      </c>
      <c r="C83" s="58" t="s">
        <v>147</v>
      </c>
      <c r="D83" s="60">
        <f>Financials!D107/Financials!D82</f>
        <v>0.18908178205396362</v>
      </c>
      <c r="E83" s="60">
        <f>Financials!E107/Financials!E82</f>
        <v>0.13160069795206172</v>
      </c>
      <c r="F83" s="60">
        <f>Financials!F107/Financials!F82</f>
        <v>8.6990459670424972E-2</v>
      </c>
      <c r="G83" s="60">
        <f>Financials!G107/Financials!G82</f>
        <v>0.11713963237665269</v>
      </c>
      <c r="H83" s="60">
        <f>Financials!H107/Financials!H82</f>
        <v>0.11525909416540635</v>
      </c>
      <c r="I83" s="60">
        <f>Financials!I107/Financials!I82</f>
        <v>0.16523914196922609</v>
      </c>
      <c r="J83" s="61">
        <f>AVERAGE(E83:I83)</f>
        <v>0.12324580522675437</v>
      </c>
    </row>
    <row r="84" spans="1:10" x14ac:dyDescent="0.35">
      <c r="A84" s="57" t="s">
        <v>73</v>
      </c>
      <c r="B84" s="57" t="s">
        <v>148</v>
      </c>
      <c r="C84" s="58" t="s">
        <v>135</v>
      </c>
      <c r="D84" s="67">
        <f>Financials!D91</f>
        <v>0.5</v>
      </c>
      <c r="E84" s="67">
        <f>Financials!E91</f>
        <v>0.53</v>
      </c>
      <c r="F84" s="67">
        <f>Financials!F91</f>
        <v>0.54</v>
      </c>
      <c r="G84" s="67">
        <f>Financials!G91</f>
        <v>0.53</v>
      </c>
      <c r="H84" s="67">
        <f>Financials!H91</f>
        <v>0.8</v>
      </c>
      <c r="I84" s="67">
        <f>Financials!I91</f>
        <v>0.77</v>
      </c>
      <c r="J84" s="61">
        <f>AVERAGE(E84:I84)</f>
        <v>0.63400000000000012</v>
      </c>
    </row>
    <row r="85" spans="1:10" x14ac:dyDescent="0.35">
      <c r="A85" s="56" t="s">
        <v>73</v>
      </c>
      <c r="B85" s="49" t="s">
        <v>149</v>
      </c>
      <c r="C85" s="50"/>
      <c r="D85" s="50"/>
      <c r="E85" s="50"/>
      <c r="F85" s="50"/>
      <c r="G85" s="50"/>
      <c r="H85" s="50"/>
      <c r="I85" s="50"/>
      <c r="J85" s="50"/>
    </row>
    <row r="86" spans="1:10" x14ac:dyDescent="0.35">
      <c r="A86" s="57" t="s">
        <v>73</v>
      </c>
      <c r="B86" s="57" t="s">
        <v>60</v>
      </c>
      <c r="C86" s="58" t="s">
        <v>127</v>
      </c>
      <c r="D86" s="60">
        <f>Financials!D89/Financials!D82</f>
        <v>0.17726417067559089</v>
      </c>
      <c r="E86" s="60">
        <f>Financials!E89/Financials!E82</f>
        <v>0.15997795940857745</v>
      </c>
      <c r="F86" s="60">
        <f>Financials!F89/Financials!F82</f>
        <v>0.14752818733738074</v>
      </c>
      <c r="G86" s="60">
        <f>Financials!G89/Financials!G82</f>
        <v>0.14600128990648178</v>
      </c>
      <c r="H86" s="60">
        <f>Financials!H89/Financials!H82</f>
        <v>0.13850195017113748</v>
      </c>
      <c r="I86" s="60">
        <f>Financials!I89/Financials!I82</f>
        <v>0.14166603501857045</v>
      </c>
      <c r="J86" s="61">
        <f>AVERAGE(E86:I86)</f>
        <v>0.14673508436842958</v>
      </c>
    </row>
    <row r="87" spans="1:10" x14ac:dyDescent="0.35">
      <c r="A87" s="57" t="s">
        <v>73</v>
      </c>
      <c r="B87" s="57" t="s">
        <v>62</v>
      </c>
      <c r="C87" s="58" t="s">
        <v>134</v>
      </c>
      <c r="D87" s="59" t="s">
        <v>122</v>
      </c>
      <c r="E87" s="62">
        <f>Financials!E82/((Financials!E102+Financials!D102)/2)</f>
        <v>0.94203650834847308</v>
      </c>
      <c r="F87" s="62">
        <f>Financials!F82/((Financials!F102+Financials!E102)/2)</f>
        <v>0.88907737980491186</v>
      </c>
      <c r="G87" s="62">
        <f>Financials!G82/((Financials!G102+Financials!F102)/2)</f>
        <v>0.8623470522803115</v>
      </c>
      <c r="H87" s="62">
        <f>Financials!H82/((Financials!H102+Financials!G102)/2)</f>
        <v>0.80156957825559882</v>
      </c>
      <c r="I87" s="62">
        <f>Financials!I82/((Financials!I102+Financials!H102)/2)</f>
        <v>0.78273509344408188</v>
      </c>
      <c r="J87" s="63">
        <f>AVERAGE(E87:I87)</f>
        <v>0.85555312242667525</v>
      </c>
    </row>
    <row r="88" spans="1:10" x14ac:dyDescent="0.35">
      <c r="A88" s="57" t="s">
        <v>73</v>
      </c>
      <c r="B88" s="57" t="s">
        <v>64</v>
      </c>
      <c r="C88" s="58" t="s">
        <v>150</v>
      </c>
      <c r="D88" s="59" t="s">
        <v>122</v>
      </c>
      <c r="E88" s="62">
        <f>((Financials!E102+Financials!D102)/2)/((Financials!E113+Financials!D113)/2)</f>
        <v>1.4407328929328183</v>
      </c>
      <c r="F88" s="62">
        <f>((Financials!F102+Financials!E102)/2)/((Financials!F113+Financials!E113)/2)</f>
        <v>1.4944972630365889</v>
      </c>
      <c r="G88" s="62">
        <f>((Financials!G102+Financials!F102)/2)/((Financials!G113+Financials!F113)/2)</f>
        <v>1.5270449599235629</v>
      </c>
      <c r="H88" s="62">
        <f>((Financials!H102+Financials!G102)/2)/((Financials!H113+Financials!G113)/2)</f>
        <v>1.5167908642214265</v>
      </c>
      <c r="I88" s="62">
        <f>((Financials!I102+Financials!H102)/2)/((Financials!I113+Financials!H113)/2)</f>
        <v>1.5171699896484991</v>
      </c>
      <c r="J88" s="63">
        <f>AVERAGE(E88:I88)</f>
        <v>1.4992471939525791</v>
      </c>
    </row>
    <row r="89" spans="1:10" x14ac:dyDescent="0.35">
      <c r="A89" s="57" t="s">
        <v>73</v>
      </c>
      <c r="B89" s="57" t="s">
        <v>151</v>
      </c>
      <c r="C89" s="58" t="s">
        <v>152</v>
      </c>
      <c r="D89" s="59" t="s">
        <v>122</v>
      </c>
      <c r="E89" s="60">
        <f>E86*E87*E88</f>
        <v>0.21712576343013837</v>
      </c>
      <c r="F89" s="60">
        <f>F86*F87*F88</f>
        <v>0.19602420051858252</v>
      </c>
      <c r="G89" s="60">
        <f>G86*G87*G88</f>
        <v>0.19226073570784014</v>
      </c>
      <c r="H89" s="60">
        <f>H86*H87*H88</f>
        <v>0.16839252879125136</v>
      </c>
      <c r="I89" s="60">
        <f>I86*I87*I88</f>
        <v>0.16823439398712814</v>
      </c>
      <c r="J89" s="61">
        <f>AVERAGE(E89:I89)</f>
        <v>0.18840752448698811</v>
      </c>
    </row>
    <row r="91" spans="1:10" x14ac:dyDescent="0.35">
      <c r="A91" s="23" t="s">
        <v>40</v>
      </c>
      <c r="B91" s="23" t="s">
        <v>116</v>
      </c>
      <c r="C91" s="23" t="s">
        <v>117</v>
      </c>
      <c r="D91" s="24" t="s">
        <v>79</v>
      </c>
      <c r="E91" s="24" t="s">
        <v>51</v>
      </c>
      <c r="F91" s="24" t="s">
        <v>52</v>
      </c>
      <c r="G91" s="24" t="s">
        <v>53</v>
      </c>
      <c r="H91" s="24" t="s">
        <v>54</v>
      </c>
      <c r="I91" s="24" t="s">
        <v>42</v>
      </c>
      <c r="J91" s="24" t="s">
        <v>118</v>
      </c>
    </row>
    <row r="92" spans="1:10" x14ac:dyDescent="0.35">
      <c r="A92" s="56" t="s">
        <v>40</v>
      </c>
      <c r="B92" s="49" t="s">
        <v>119</v>
      </c>
      <c r="C92" s="50"/>
      <c r="D92" s="50"/>
      <c r="E92" s="50"/>
      <c r="F92" s="50"/>
      <c r="G92" s="50"/>
      <c r="H92" s="50"/>
      <c r="I92" s="50"/>
      <c r="J92" s="50"/>
    </row>
    <row r="93" spans="1:10" x14ac:dyDescent="0.35">
      <c r="A93" s="57" t="s">
        <v>40</v>
      </c>
      <c r="B93" s="57" t="s">
        <v>120</v>
      </c>
      <c r="C93" s="58" t="s">
        <v>121</v>
      </c>
      <c r="D93" s="59" t="s">
        <v>122</v>
      </c>
      <c r="E93" s="60">
        <f>Financials!E120/Financials!D120-1</f>
        <v>7.6126674786845205E-2</v>
      </c>
      <c r="F93" s="60">
        <f>Financials!F120/Financials!E120-1</f>
        <v>0.15315506508205989</v>
      </c>
      <c r="G93" s="60">
        <f>Financials!G120/Financials!F120-1</f>
        <v>2.8709895098460114E-2</v>
      </c>
      <c r="H93" s="60">
        <f>Financials!H120/Financials!G120-1</f>
        <v>7.0010137754189294E-2</v>
      </c>
      <c r="I93" s="60">
        <f>Financials!I120/Financials!H120-1</f>
        <v>6.7380036783146524E-2</v>
      </c>
      <c r="J93" s="61">
        <f>AVERAGE(E93:I93)</f>
        <v>7.9076361900940209E-2</v>
      </c>
    </row>
    <row r="94" spans="1:10" x14ac:dyDescent="0.35">
      <c r="A94" s="57" t="s">
        <v>40</v>
      </c>
      <c r="B94" s="57" t="s">
        <v>123</v>
      </c>
      <c r="C94" s="58" t="s">
        <v>124</v>
      </c>
      <c r="D94" s="59" t="s">
        <v>122</v>
      </c>
      <c r="E94" s="60">
        <f>Financials!E127/Financials!D127-1</f>
        <v>-0.18098325229605616</v>
      </c>
      <c r="F94" s="60">
        <f>Financials!F127/Financials!E127-1</f>
        <v>0.52770448548812654</v>
      </c>
      <c r="G94" s="60">
        <f>Financials!G127/Financials!F127-1</f>
        <v>-7.8583765112262505E-2</v>
      </c>
      <c r="H94" s="60">
        <f>Financials!H127/Financials!G127-1</f>
        <v>2.0618556701030855E-2</v>
      </c>
      <c r="I94" s="60">
        <f>Financials!I127/Financials!H127-1</f>
        <v>0.1648301193755739</v>
      </c>
      <c r="J94" s="61">
        <f>AVERAGE(E94:I94)</f>
        <v>9.0717228831282526E-2</v>
      </c>
    </row>
    <row r="95" spans="1:10" x14ac:dyDescent="0.35">
      <c r="A95" s="56" t="s">
        <v>40</v>
      </c>
      <c r="B95" s="49" t="s">
        <v>61</v>
      </c>
      <c r="C95" s="50"/>
      <c r="D95" s="50"/>
      <c r="E95" s="50"/>
      <c r="F95" s="50"/>
      <c r="G95" s="50"/>
      <c r="H95" s="50"/>
      <c r="I95" s="50"/>
      <c r="J95" s="50"/>
    </row>
    <row r="96" spans="1:10" x14ac:dyDescent="0.35">
      <c r="A96" s="57" t="s">
        <v>40</v>
      </c>
      <c r="B96" s="57" t="s">
        <v>125</v>
      </c>
      <c r="C96" s="58" t="s">
        <v>126</v>
      </c>
      <c r="D96" s="60">
        <f>Financials!D122/Financials!D120</f>
        <v>0.19100182704019489</v>
      </c>
      <c r="E96" s="60">
        <f>Financials!E122/Financials!E120</f>
        <v>0.15570175438596492</v>
      </c>
      <c r="F96" s="60">
        <f>Financials!F122/Financials!F120</f>
        <v>0.1736703269738053</v>
      </c>
      <c r="G96" s="60">
        <f>Financials!G122/Financials!G120</f>
        <v>0.18886039716142883</v>
      </c>
      <c r="H96" s="60">
        <f>Financials!H122/Financials!H120</f>
        <v>0.17700496015159115</v>
      </c>
      <c r="I96" s="60">
        <f>Financials!I122/Financials!I120</f>
        <v>0.18347953216374269</v>
      </c>
      <c r="J96" s="61">
        <f>AVERAGE(E96:I96)</f>
        <v>0.17574339416730661</v>
      </c>
    </row>
    <row r="97" spans="1:10" x14ac:dyDescent="0.35">
      <c r="A97" s="57" t="s">
        <v>40</v>
      </c>
      <c r="B97" s="57" t="s">
        <v>60</v>
      </c>
      <c r="C97" s="58" t="s">
        <v>127</v>
      </c>
      <c r="D97" s="60">
        <f>Financials!D127/Financials!D120</f>
        <v>0.14091047503045068</v>
      </c>
      <c r="E97" s="60">
        <f>Financials!E127/Financials!E120</f>
        <v>0.10724391624221845</v>
      </c>
      <c r="F97" s="60">
        <f>Financials!F127/Financials!F120</f>
        <v>0.14207717317955953</v>
      </c>
      <c r="G97" s="60">
        <f>Financials!G127/Financials!G120</f>
        <v>0.12725863199952292</v>
      </c>
      <c r="H97" s="60">
        <f>Financials!H127/Financials!H120</f>
        <v>0.12138438388229393</v>
      </c>
      <c r="I97" s="60">
        <f>Financials!I127/Financials!I120</f>
        <v>0.13246658312447787</v>
      </c>
      <c r="J97" s="61">
        <f>AVERAGE(E97:I97)</f>
        <v>0.12608613768561455</v>
      </c>
    </row>
    <row r="98" spans="1:10" x14ac:dyDescent="0.35">
      <c r="A98" s="57" t="s">
        <v>40</v>
      </c>
      <c r="B98" s="57" t="s">
        <v>128</v>
      </c>
      <c r="C98" s="58" t="s">
        <v>129</v>
      </c>
      <c r="D98" s="59" t="s">
        <v>122</v>
      </c>
      <c r="E98" s="60">
        <f>Financials!E127/((Financials!E151+Financials!D151)/2)</f>
        <v>0.49656075990828691</v>
      </c>
      <c r="F98" s="60">
        <f>Financials!F127/((Financials!F151+Financials!E151)/2)</f>
        <v>0.76034143138542354</v>
      </c>
      <c r="G98" s="60">
        <f>Financials!G127/((Financials!G151+Financials!F151)/2)</f>
        <v>0.57096989966555189</v>
      </c>
      <c r="H98" s="60">
        <f>Financials!H127/((Financials!H151+Financials!G151)/2)</f>
        <v>0.52500903941183563</v>
      </c>
      <c r="I98" s="60">
        <f>Financials!I127/((Financials!I151+Financials!H151)/2)</f>
        <v>0.53625026421475375</v>
      </c>
      <c r="J98" s="61">
        <f>AVERAGE(E98:I98)</f>
        <v>0.57782627891717042</v>
      </c>
    </row>
    <row r="99" spans="1:10" x14ac:dyDescent="0.35">
      <c r="A99" s="57" t="s">
        <v>40</v>
      </c>
      <c r="B99" s="57" t="s">
        <v>130</v>
      </c>
      <c r="C99" s="58" t="s">
        <v>131</v>
      </c>
      <c r="D99" s="59" t="s">
        <v>122</v>
      </c>
      <c r="E99" s="60">
        <f>Financials!E152/((Financials!E153+Financials!D153)/2)</f>
        <v>0.41556012717411633</v>
      </c>
      <c r="F99" s="60">
        <f>Financials!F152/((Financials!F153+Financials!E153)/2)</f>
        <v>0.55350043215211753</v>
      </c>
      <c r="G99" s="60">
        <f>Financials!G152/((Financials!G153+Financials!F153)/2)</f>
        <v>0.49086703358060141</v>
      </c>
      <c r="H99" s="60">
        <f>Financials!H152/((Financials!H153+Financials!G153)/2)</f>
        <v>0.52821087087604446</v>
      </c>
      <c r="I99" s="60">
        <f>Financials!I152/((Financials!I153+Financials!H153)/2)</f>
        <v>0.56282570932252463</v>
      </c>
      <c r="J99" s="61">
        <f>AVERAGE(E99:I99)</f>
        <v>0.51019283462108089</v>
      </c>
    </row>
    <row r="100" spans="1:10" x14ac:dyDescent="0.35">
      <c r="A100" s="57" t="s">
        <v>40</v>
      </c>
      <c r="B100" s="57" t="s">
        <v>132</v>
      </c>
      <c r="C100" s="58" t="s">
        <v>133</v>
      </c>
      <c r="D100" s="59" t="s">
        <v>122</v>
      </c>
      <c r="E100" s="60">
        <f>Financials!E127/((Financials!E140+Financials!D140)/2)</f>
        <v>0.19527275069234237</v>
      </c>
      <c r="F100" s="60">
        <f>Financials!F127/((Financials!F140+Financials!E140)/2)</f>
        <v>0.27447262384451293</v>
      </c>
      <c r="G100" s="60">
        <f>Financials!G127/((Financials!G140+Financials!F140)/2)</f>
        <v>0.23167951362501357</v>
      </c>
      <c r="H100" s="60">
        <f>Financials!H127/((Financials!H140+Financials!G140)/2)</f>
        <v>0.24324324324324326</v>
      </c>
      <c r="I100" s="60">
        <f>Financials!I127/((Financials!I140+Financials!H140)/2)</f>
        <v>0.27328055151613079</v>
      </c>
      <c r="J100" s="61">
        <f>AVERAGE(E100:I100)</f>
        <v>0.2435897365842486</v>
      </c>
    </row>
    <row r="101" spans="1:10" x14ac:dyDescent="0.35">
      <c r="A101" s="56" t="s">
        <v>40</v>
      </c>
      <c r="B101" s="49" t="s">
        <v>63</v>
      </c>
      <c r="C101" s="50"/>
      <c r="D101" s="50"/>
      <c r="E101" s="50"/>
      <c r="F101" s="50"/>
      <c r="G101" s="50"/>
      <c r="H101" s="50"/>
      <c r="I101" s="50"/>
      <c r="J101" s="50"/>
    </row>
    <row r="102" spans="1:10" x14ac:dyDescent="0.35">
      <c r="A102" s="57" t="s">
        <v>40</v>
      </c>
      <c r="B102" s="57" t="s">
        <v>68</v>
      </c>
      <c r="C102" s="58" t="s">
        <v>134</v>
      </c>
      <c r="D102" s="59" t="s">
        <v>122</v>
      </c>
      <c r="E102" s="62">
        <f>Financials!E120/((Financials!E140+Financials!D140)/2)</f>
        <v>1.820828234687963</v>
      </c>
      <c r="F102" s="62">
        <f>Financials!F120/((Financials!F140+Financials!E140)/2)</f>
        <v>1.9318558900213321</v>
      </c>
      <c r="G102" s="62">
        <f>Financials!G120/((Financials!G140+Financials!F140)/2)</f>
        <v>1.8205406579090218</v>
      </c>
      <c r="H102" s="62">
        <f>Financials!H120/((Financials!H140+Financials!G140)/2)</f>
        <v>2.0039088675452312</v>
      </c>
      <c r="I102" s="62">
        <f>Financials!I120/((Financials!I140+Financials!H140)/2)</f>
        <v>2.0630150266602034</v>
      </c>
      <c r="J102" s="63">
        <f>AVERAGE(E102:I102)</f>
        <v>1.9280297353647502</v>
      </c>
    </row>
    <row r="103" spans="1:10" x14ac:dyDescent="0.35">
      <c r="A103" s="57" t="s">
        <v>40</v>
      </c>
      <c r="B103" s="57" t="s">
        <v>106</v>
      </c>
      <c r="C103" s="58" t="s">
        <v>135</v>
      </c>
      <c r="D103" s="64">
        <f>Financials!D147</f>
        <v>7</v>
      </c>
      <c r="E103" s="64">
        <f>Financials!E147</f>
        <v>9</v>
      </c>
      <c r="F103" s="64">
        <f>Financials!F147</f>
        <v>7</v>
      </c>
      <c r="G103" s="64">
        <f>Financials!G147</f>
        <v>9</v>
      </c>
      <c r="H103" s="64">
        <f>Financials!H147</f>
        <v>9</v>
      </c>
      <c r="I103" s="64">
        <f>Financials!I147</f>
        <v>9</v>
      </c>
      <c r="J103" s="65">
        <f>AVERAGE(E103:I103)</f>
        <v>8.6</v>
      </c>
    </row>
    <row r="104" spans="1:10" x14ac:dyDescent="0.35">
      <c r="A104" s="57" t="s">
        <v>40</v>
      </c>
      <c r="B104" s="57" t="s">
        <v>107</v>
      </c>
      <c r="C104" s="58" t="s">
        <v>135</v>
      </c>
      <c r="D104" s="64">
        <f>Financials!D148</f>
        <v>52</v>
      </c>
      <c r="E104" s="64">
        <f>Financials!E148</f>
        <v>57</v>
      </c>
      <c r="F104" s="64">
        <f>Financials!F148</f>
        <v>45</v>
      </c>
      <c r="G104" s="64">
        <f>Financials!G148</f>
        <v>45</v>
      </c>
      <c r="H104" s="64">
        <f>Financials!H148</f>
        <v>43</v>
      </c>
      <c r="I104" s="64">
        <f>Financials!I148</f>
        <v>44</v>
      </c>
      <c r="J104" s="65">
        <f>AVERAGE(E104:I104)</f>
        <v>46.8</v>
      </c>
    </row>
    <row r="105" spans="1:10" x14ac:dyDescent="0.35">
      <c r="A105" s="57" t="s">
        <v>40</v>
      </c>
      <c r="B105" s="57" t="s">
        <v>136</v>
      </c>
      <c r="C105" s="58" t="s">
        <v>135</v>
      </c>
      <c r="D105" s="64">
        <f>Financials!D149</f>
        <v>63</v>
      </c>
      <c r="E105" s="64">
        <f>Financials!E149</f>
        <v>55</v>
      </c>
      <c r="F105" s="64">
        <f>Financials!F149</f>
        <v>55</v>
      </c>
      <c r="G105" s="64">
        <f>Financials!G149</f>
        <v>63</v>
      </c>
      <c r="H105" s="64">
        <f>Financials!H149</f>
        <v>60</v>
      </c>
      <c r="I105" s="64">
        <f>Financials!I149</f>
        <v>62</v>
      </c>
      <c r="J105" s="65">
        <f>AVERAGE(E105:I105)</f>
        <v>59</v>
      </c>
    </row>
    <row r="106" spans="1:10" x14ac:dyDescent="0.35">
      <c r="A106" s="57" t="s">
        <v>40</v>
      </c>
      <c r="B106" s="57" t="s">
        <v>137</v>
      </c>
      <c r="C106" s="58" t="s">
        <v>138</v>
      </c>
      <c r="D106" s="66">
        <f t="shared" ref="D106:I106" si="3">D103+D104-D105</f>
        <v>-4</v>
      </c>
      <c r="E106" s="66">
        <f t="shared" si="3"/>
        <v>11</v>
      </c>
      <c r="F106" s="66">
        <f t="shared" si="3"/>
        <v>-3</v>
      </c>
      <c r="G106" s="66">
        <f t="shared" si="3"/>
        <v>-9</v>
      </c>
      <c r="H106" s="66">
        <f t="shared" si="3"/>
        <v>-8</v>
      </c>
      <c r="I106" s="66">
        <f t="shared" si="3"/>
        <v>-9</v>
      </c>
      <c r="J106" s="65">
        <f>AVERAGE(E106:I106)</f>
        <v>-3.6</v>
      </c>
    </row>
    <row r="107" spans="1:10" x14ac:dyDescent="0.35">
      <c r="A107" s="56" t="s">
        <v>40</v>
      </c>
      <c r="B107" s="49" t="s">
        <v>139</v>
      </c>
      <c r="C107" s="50"/>
      <c r="D107" s="50"/>
      <c r="E107" s="50"/>
      <c r="F107" s="50"/>
      <c r="G107" s="50"/>
      <c r="H107" s="50"/>
      <c r="I107" s="50"/>
      <c r="J107" s="50"/>
    </row>
    <row r="108" spans="1:10" x14ac:dyDescent="0.35">
      <c r="A108" s="57" t="s">
        <v>40</v>
      </c>
      <c r="B108" s="57" t="s">
        <v>49</v>
      </c>
      <c r="C108" s="58" t="s">
        <v>140</v>
      </c>
      <c r="D108" s="62">
        <f>Financials!D133/Financials!D151</f>
        <v>0.5938556933483653</v>
      </c>
      <c r="E108" s="62">
        <f>Financials!E133/Financials!E151</f>
        <v>0.96989835809225955</v>
      </c>
      <c r="F108" s="62">
        <f>Financials!F133/Financials!F151</f>
        <v>0.84804753820033951</v>
      </c>
      <c r="G108" s="62">
        <f>Financials!G133/Financials!G151</f>
        <v>0.5239786856127886</v>
      </c>
      <c r="H108" s="62">
        <f>Financials!H133/Financials!H151</f>
        <v>0.28627180899908172</v>
      </c>
      <c r="I108" s="62">
        <f>Financials!I133/Financials!I151</f>
        <v>0.27027027027027029</v>
      </c>
      <c r="J108" s="63">
        <f>AVERAGE(E108:I108)</f>
        <v>0.5796933322349479</v>
      </c>
    </row>
    <row r="109" spans="1:10" x14ac:dyDescent="0.35">
      <c r="A109" s="57" t="s">
        <v>40</v>
      </c>
      <c r="B109" s="57" t="s">
        <v>141</v>
      </c>
      <c r="C109" s="58" t="s">
        <v>142</v>
      </c>
      <c r="D109" s="62">
        <f>IFERROR(Financials!D152/Financials!D124,0)</f>
        <v>23.648648648648649</v>
      </c>
      <c r="E109" s="62">
        <f>IFERROR(Financials!E152/Financials!E124,0)</f>
        <v>15.430555555555555</v>
      </c>
      <c r="F109" s="62">
        <f>IFERROR(Financials!F152/Financials!F124,0)</f>
        <v>18.946745562130179</v>
      </c>
      <c r="G109" s="62">
        <f>IFERROR(Financials!G152/Financials!G124,0)</f>
        <v>18.762195121951219</v>
      </c>
      <c r="H109" s="62">
        <f>IFERROR(Financials!H152/Financials!H124,0)</f>
        <v>22.057553956834532</v>
      </c>
      <c r="I109" s="62">
        <f>IFERROR(Financials!I152/Financials!I124,0)</f>
        <v>30.106194690265486</v>
      </c>
      <c r="J109" s="63">
        <f>AVERAGE(E109:I109)</f>
        <v>21.060648977347391</v>
      </c>
    </row>
    <row r="110" spans="1:10" x14ac:dyDescent="0.35">
      <c r="A110" s="56" t="s">
        <v>40</v>
      </c>
      <c r="B110" s="49" t="s">
        <v>143</v>
      </c>
      <c r="C110" s="50"/>
      <c r="D110" s="50"/>
      <c r="E110" s="50"/>
      <c r="F110" s="50"/>
      <c r="G110" s="50"/>
      <c r="H110" s="50"/>
      <c r="I110" s="50"/>
      <c r="J110" s="50"/>
    </row>
    <row r="111" spans="1:10" x14ac:dyDescent="0.35">
      <c r="A111" s="57" t="s">
        <v>40</v>
      </c>
      <c r="B111" s="57" t="s">
        <v>144</v>
      </c>
      <c r="C111" s="58" t="s">
        <v>145</v>
      </c>
      <c r="D111" s="62">
        <f>Financials!D142/Financials!D127</f>
        <v>1</v>
      </c>
      <c r="E111" s="62">
        <f>Financials!E142/Financials!E127</f>
        <v>0.85751978891820579</v>
      </c>
      <c r="F111" s="62">
        <f>Financials!F142/Financials!F127</f>
        <v>1.0906735751295338</v>
      </c>
      <c r="G111" s="62">
        <f>Financials!G142/Financials!G127</f>
        <v>1.2057169634489222</v>
      </c>
      <c r="H111" s="62">
        <f>Financials!H142/Financials!H127</f>
        <v>1.1437098255280074</v>
      </c>
      <c r="I111" s="62">
        <f>Financials!I142/Financials!I127</f>
        <v>1.0295624753646038</v>
      </c>
      <c r="J111" s="63">
        <f>AVERAGE(E111:I111)</f>
        <v>1.0654365256778546</v>
      </c>
    </row>
    <row r="112" spans="1:10" x14ac:dyDescent="0.35">
      <c r="A112" s="57" t="s">
        <v>40</v>
      </c>
      <c r="B112" s="57" t="s">
        <v>146</v>
      </c>
      <c r="C112" s="58" t="s">
        <v>147</v>
      </c>
      <c r="D112" s="60">
        <f>Financials!D145/Financials!D120</f>
        <v>0.12264007308160779</v>
      </c>
      <c r="E112" s="60">
        <f>Financials!E145/Financials!E120</f>
        <v>5.319750990379174E-2</v>
      </c>
      <c r="F112" s="60">
        <f>Financials!F145/Financials!F120</f>
        <v>0.11612784491748973</v>
      </c>
      <c r="G112" s="60">
        <f>Financials!G145/Financials!G120</f>
        <v>0.12433657343908402</v>
      </c>
      <c r="H112" s="60">
        <f>Financials!H145/Financials!H120</f>
        <v>0.11815192554199409</v>
      </c>
      <c r="I112" s="60">
        <f>Financials!I145/Financials!I120</f>
        <v>0.12573099415204678</v>
      </c>
      <c r="J112" s="61">
        <f>AVERAGE(E112:I112)</f>
        <v>0.10750896959088127</v>
      </c>
    </row>
    <row r="113" spans="1:10" x14ac:dyDescent="0.35">
      <c r="A113" s="57" t="s">
        <v>40</v>
      </c>
      <c r="B113" s="57" t="s">
        <v>148</v>
      </c>
      <c r="C113" s="58" t="s">
        <v>135</v>
      </c>
      <c r="D113" s="67">
        <f>Financials!D129</f>
        <v>2.04</v>
      </c>
      <c r="E113" s="67">
        <f>Financials!E129</f>
        <v>0.89</v>
      </c>
      <c r="F113" s="67">
        <f>Financials!F129</f>
        <v>0.75</v>
      </c>
      <c r="G113" s="67">
        <f>Financials!G129</f>
        <v>0.83</v>
      </c>
      <c r="H113" s="67">
        <f>Financials!H129</f>
        <v>0.83</v>
      </c>
      <c r="I113" s="67">
        <f>Financials!I129</f>
        <v>0.86</v>
      </c>
      <c r="J113" s="61">
        <f>AVERAGE(E113:I113)</f>
        <v>0.83200000000000007</v>
      </c>
    </row>
    <row r="114" spans="1:10" x14ac:dyDescent="0.35">
      <c r="A114" s="56" t="s">
        <v>40</v>
      </c>
      <c r="B114" s="49" t="s">
        <v>149</v>
      </c>
      <c r="C114" s="50"/>
      <c r="D114" s="50"/>
      <c r="E114" s="50"/>
      <c r="F114" s="50"/>
      <c r="G114" s="50"/>
      <c r="H114" s="50"/>
      <c r="I114" s="50"/>
      <c r="J114" s="50"/>
    </row>
    <row r="115" spans="1:10" x14ac:dyDescent="0.35">
      <c r="A115" s="57" t="s">
        <v>40</v>
      </c>
      <c r="B115" s="57" t="s">
        <v>60</v>
      </c>
      <c r="C115" s="58" t="s">
        <v>127</v>
      </c>
      <c r="D115" s="60">
        <f>Financials!D127/Financials!D120</f>
        <v>0.14091047503045068</v>
      </c>
      <c r="E115" s="60">
        <f>Financials!E127/Financials!E120</f>
        <v>0.10724391624221845</v>
      </c>
      <c r="F115" s="60">
        <f>Financials!F127/Financials!F120</f>
        <v>0.14207717317955953</v>
      </c>
      <c r="G115" s="60">
        <f>Financials!G127/Financials!G120</f>
        <v>0.12725863199952292</v>
      </c>
      <c r="H115" s="60">
        <f>Financials!H127/Financials!H120</f>
        <v>0.12138438388229393</v>
      </c>
      <c r="I115" s="60">
        <f>Financials!I127/Financials!I120</f>
        <v>0.13246658312447787</v>
      </c>
      <c r="J115" s="61">
        <f>AVERAGE(E115:I115)</f>
        <v>0.12608613768561455</v>
      </c>
    </row>
    <row r="116" spans="1:10" x14ac:dyDescent="0.35">
      <c r="A116" s="57" t="s">
        <v>40</v>
      </c>
      <c r="B116" s="57" t="s">
        <v>62</v>
      </c>
      <c r="C116" s="58" t="s">
        <v>134</v>
      </c>
      <c r="D116" s="59" t="s">
        <v>122</v>
      </c>
      <c r="E116" s="62">
        <f>Financials!E120/((Financials!E140+Financials!D140)/2)</f>
        <v>1.820828234687963</v>
      </c>
      <c r="F116" s="62">
        <f>Financials!F120/((Financials!F140+Financials!E140)/2)</f>
        <v>1.9318558900213321</v>
      </c>
      <c r="G116" s="62">
        <f>Financials!G120/((Financials!G140+Financials!F140)/2)</f>
        <v>1.8205406579090218</v>
      </c>
      <c r="H116" s="62">
        <f>Financials!H120/((Financials!H140+Financials!G140)/2)</f>
        <v>2.0039088675452312</v>
      </c>
      <c r="I116" s="62">
        <f>Financials!I120/((Financials!I140+Financials!H140)/2)</f>
        <v>2.0630150266602034</v>
      </c>
      <c r="J116" s="63">
        <f>AVERAGE(E116:I116)</f>
        <v>1.9280297353647502</v>
      </c>
    </row>
    <row r="117" spans="1:10" x14ac:dyDescent="0.35">
      <c r="A117" s="57" t="s">
        <v>40</v>
      </c>
      <c r="B117" s="57" t="s">
        <v>64</v>
      </c>
      <c r="C117" s="58" t="s">
        <v>150</v>
      </c>
      <c r="D117" s="59" t="s">
        <v>122</v>
      </c>
      <c r="E117" s="62">
        <f>((Financials!E140+Financials!D140)/2)/((Financials!E151+Financials!D151)/2)</f>
        <v>2.5429086144775632</v>
      </c>
      <c r="F117" s="62">
        <f>((Financials!F140+Financials!E140)/2)/((Financials!F151+Financials!E151)/2)</f>
        <v>2.7701904136572555</v>
      </c>
      <c r="G117" s="62">
        <f>((Financials!G140+Financials!F140)/2)/((Financials!G151+Financials!F151)/2)</f>
        <v>2.4644816053511707</v>
      </c>
      <c r="H117" s="62">
        <f>((Financials!H140+Financials!G140)/2)/((Financials!H151+Financials!G151)/2)</f>
        <v>2.1583704953597684</v>
      </c>
      <c r="I117" s="62">
        <f>((Financials!I140+Financials!H140)/2)/((Financials!I151+Financials!H151)/2)</f>
        <v>1.9622701331642358</v>
      </c>
      <c r="J117" s="63">
        <f>AVERAGE(E117:I117)</f>
        <v>2.3796442524019987</v>
      </c>
    </row>
    <row r="118" spans="1:10" x14ac:dyDescent="0.35">
      <c r="A118" s="57" t="s">
        <v>40</v>
      </c>
      <c r="B118" s="57" t="s">
        <v>151</v>
      </c>
      <c r="C118" s="58" t="s">
        <v>152</v>
      </c>
      <c r="D118" s="59" t="s">
        <v>122</v>
      </c>
      <c r="E118" s="60">
        <f>E115*E116*E117</f>
        <v>0.49656075990828696</v>
      </c>
      <c r="F118" s="60">
        <f>F115*F116*F117</f>
        <v>0.76034143138542354</v>
      </c>
      <c r="G118" s="60">
        <f>G115*G116*G117</f>
        <v>0.57096989966555178</v>
      </c>
      <c r="H118" s="60">
        <f>H115*H116*H117</f>
        <v>0.52500903941183563</v>
      </c>
      <c r="I118" s="60">
        <f>I115*I116*I117</f>
        <v>0.53625026421475375</v>
      </c>
      <c r="J118" s="61">
        <f>AVERAGE(E118:I118)</f>
        <v>0.57782627891717042</v>
      </c>
    </row>
    <row r="120" spans="1:10" x14ac:dyDescent="0.35">
      <c r="A120" s="23" t="s">
        <v>74</v>
      </c>
      <c r="B120" s="23" t="s">
        <v>116</v>
      </c>
      <c r="C120" s="23" t="s">
        <v>117</v>
      </c>
      <c r="D120" s="24" t="s">
        <v>79</v>
      </c>
      <c r="E120" s="24" t="s">
        <v>51</v>
      </c>
      <c r="F120" s="24" t="s">
        <v>52</v>
      </c>
      <c r="G120" s="24" t="s">
        <v>53</v>
      </c>
      <c r="H120" s="24" t="s">
        <v>54</v>
      </c>
      <c r="I120" s="24" t="s">
        <v>42</v>
      </c>
      <c r="J120" s="24" t="s">
        <v>118</v>
      </c>
    </row>
    <row r="121" spans="1:10" x14ac:dyDescent="0.35">
      <c r="A121" s="56" t="s">
        <v>74</v>
      </c>
      <c r="B121" s="49" t="s">
        <v>119</v>
      </c>
      <c r="C121" s="50"/>
      <c r="D121" s="50"/>
      <c r="E121" s="50"/>
      <c r="F121" s="50"/>
      <c r="G121" s="50"/>
      <c r="H121" s="50"/>
      <c r="I121" s="50"/>
      <c r="J121" s="50"/>
    </row>
    <row r="122" spans="1:10" x14ac:dyDescent="0.35">
      <c r="A122" s="57" t="s">
        <v>74</v>
      </c>
      <c r="B122" s="57" t="s">
        <v>120</v>
      </c>
      <c r="C122" s="58" t="s">
        <v>121</v>
      </c>
      <c r="D122" s="59" t="s">
        <v>122</v>
      </c>
      <c r="E122" s="60">
        <f>Financials!E158/Financials!D158-1</f>
        <v>0.18190854870775341</v>
      </c>
      <c r="F122" s="60">
        <f>Financials!F158/Financials!E158-1</f>
        <v>2.6492851135407891E-2</v>
      </c>
      <c r="G122" s="60">
        <f>Financials!G158/Financials!F158-1</f>
        <v>-1.1368291683736209E-2</v>
      </c>
      <c r="H122" s="60">
        <f>Financials!H158/Financials!G158-1</f>
        <v>0.12203460064228744</v>
      </c>
      <c r="I122" s="60">
        <f>Financials!I158/Financials!H158-1</f>
        <v>0.25667066752839074</v>
      </c>
      <c r="J122" s="61">
        <f>AVERAGE(E122:I122)</f>
        <v>0.11514767526602065</v>
      </c>
    </row>
    <row r="123" spans="1:10" x14ac:dyDescent="0.35">
      <c r="A123" s="57" t="s">
        <v>74</v>
      </c>
      <c r="B123" s="57" t="s">
        <v>123</v>
      </c>
      <c r="C123" s="58" t="s">
        <v>124</v>
      </c>
      <c r="D123" s="59" t="s">
        <v>122</v>
      </c>
      <c r="E123" s="60">
        <f>Financials!E165/Financials!D165-1</f>
        <v>4.6705587989991582E-2</v>
      </c>
      <c r="F123" s="60">
        <f>Financials!F165/Financials!E165-1</f>
        <v>5.3386454183266929E-2</v>
      </c>
      <c r="G123" s="60">
        <f>Financials!G165/Financials!F165-1</f>
        <v>0.13615733736762481</v>
      </c>
      <c r="H123" s="60">
        <f>Financials!H165/Financials!G165-1</f>
        <v>0.10386151797603205</v>
      </c>
      <c r="I123" s="60">
        <f>Financials!I165/Financials!H165-1</f>
        <v>9.3486127864897517E-2</v>
      </c>
      <c r="J123" s="61">
        <f>AVERAGE(E123:I123)</f>
        <v>8.6719405076362582E-2</v>
      </c>
    </row>
    <row r="124" spans="1:10" x14ac:dyDescent="0.35">
      <c r="A124" s="56" t="s">
        <v>74</v>
      </c>
      <c r="B124" s="49" t="s">
        <v>61</v>
      </c>
      <c r="C124" s="50"/>
      <c r="D124" s="50"/>
      <c r="E124" s="50"/>
      <c r="F124" s="50"/>
      <c r="G124" s="50"/>
      <c r="H124" s="50"/>
      <c r="I124" s="50"/>
      <c r="J124" s="50"/>
    </row>
    <row r="125" spans="1:10" x14ac:dyDescent="0.35">
      <c r="A125" s="57" t="s">
        <v>74</v>
      </c>
      <c r="B125" s="57" t="s">
        <v>125</v>
      </c>
      <c r="C125" s="58" t="s">
        <v>126</v>
      </c>
      <c r="D125" s="60">
        <f>Financials!D160/Financials!D158</f>
        <v>0.19744035785288269</v>
      </c>
      <c r="E125" s="60">
        <f>Financials!E160/Financials!E158</f>
        <v>0.17672413793103448</v>
      </c>
      <c r="F125" s="60">
        <f>Financials!F160/Financials!F158</f>
        <v>0.18537484637443671</v>
      </c>
      <c r="G125" s="60">
        <f>Financials!G160/Financials!G158</f>
        <v>0.20988293794675231</v>
      </c>
      <c r="H125" s="60">
        <f>Financials!H160/Financials!H158</f>
        <v>0.19748868987166468</v>
      </c>
      <c r="I125" s="60">
        <f>Financials!I160/Financials!I158</f>
        <v>0.17103813092351774</v>
      </c>
      <c r="J125" s="61">
        <f>AVERAGE(E125:I125)</f>
        <v>0.18810174860948117</v>
      </c>
    </row>
    <row r="126" spans="1:10" x14ac:dyDescent="0.35">
      <c r="A126" s="57" t="s">
        <v>74</v>
      </c>
      <c r="B126" s="57" t="s">
        <v>60</v>
      </c>
      <c r="C126" s="58" t="s">
        <v>127</v>
      </c>
      <c r="D126" s="60">
        <f>Financials!D165/Financials!D158</f>
        <v>0.14898111332007952</v>
      </c>
      <c r="E126" s="60">
        <f>Financials!E165/Financials!E158</f>
        <v>0.1319386038687973</v>
      </c>
      <c r="F126" s="60">
        <f>Financials!F165/Financials!F158</f>
        <v>0.13539532978287588</v>
      </c>
      <c r="G126" s="60">
        <f>Financials!G165/Financials!G158</f>
        <v>0.15559929555578578</v>
      </c>
      <c r="H126" s="60">
        <f>Financials!H165/Financials!H158</f>
        <v>0.1530791247345582</v>
      </c>
      <c r="I126" s="60">
        <f>Financials!I165/Financials!I158</f>
        <v>0.13320108735581515</v>
      </c>
      <c r="J126" s="61">
        <f>AVERAGE(E126:I126)</f>
        <v>0.14184268825956647</v>
      </c>
    </row>
    <row r="127" spans="1:10" x14ac:dyDescent="0.35">
      <c r="A127" s="57" t="s">
        <v>74</v>
      </c>
      <c r="B127" s="57" t="s">
        <v>128</v>
      </c>
      <c r="C127" s="58" t="s">
        <v>129</v>
      </c>
      <c r="D127" s="59" t="s">
        <v>122</v>
      </c>
      <c r="E127" s="60">
        <f>Financials!E165/((Financials!E189+Financials!D189)/2)</f>
        <v>0.38099574984820889</v>
      </c>
      <c r="F127" s="60">
        <f>Financials!F165/((Financials!F189+Financials!E189)/2)</f>
        <v>0.36994543164964322</v>
      </c>
      <c r="G127" s="60">
        <f>Financials!G165/((Financials!G189+Financials!F189)/2)</f>
        <v>0.39365744987550777</v>
      </c>
      <c r="H127" s="60">
        <f>Financials!H165/((Financials!H189+Financials!G189)/2)</f>
        <v>0.42474702190342001</v>
      </c>
      <c r="I127" s="60">
        <f>Financials!I165/((Financials!I189+Financials!H189)/2)</f>
        <v>0.4430054978619426</v>
      </c>
      <c r="J127" s="61">
        <f>AVERAGE(E127:I127)</f>
        <v>0.40247023022774453</v>
      </c>
    </row>
    <row r="128" spans="1:10" x14ac:dyDescent="0.35">
      <c r="A128" s="57" t="s">
        <v>74</v>
      </c>
      <c r="B128" s="57" t="s">
        <v>130</v>
      </c>
      <c r="C128" s="58" t="s">
        <v>131</v>
      </c>
      <c r="D128" s="59" t="s">
        <v>122</v>
      </c>
      <c r="E128" s="60">
        <f>Financials!E190/((Financials!E191+Financials!D191)/2)</f>
        <v>0.43283188176299814</v>
      </c>
      <c r="F128" s="60">
        <f>Financials!F190/((Financials!F191+Financials!E191)/2)</f>
        <v>0.43696866650473648</v>
      </c>
      <c r="G128" s="60">
        <f>Financials!G190/((Financials!G191+Financials!F191)/2)</f>
        <v>0.45853769818638074</v>
      </c>
      <c r="H128" s="60">
        <f>Financials!H190/((Financials!H191+Financials!G191)/2)</f>
        <v>0.48801889976375296</v>
      </c>
      <c r="I128" s="60">
        <f>Financials!I190/((Financials!I191+Financials!H191)/2)</f>
        <v>0.50129087779690185</v>
      </c>
      <c r="J128" s="61">
        <f>AVERAGE(E128:I128)</f>
        <v>0.46352960480295397</v>
      </c>
    </row>
    <row r="129" spans="1:10" x14ac:dyDescent="0.35">
      <c r="A129" s="57" t="s">
        <v>74</v>
      </c>
      <c r="B129" s="57" t="s">
        <v>132</v>
      </c>
      <c r="C129" s="58" t="s">
        <v>133</v>
      </c>
      <c r="D129" s="59" t="s">
        <v>122</v>
      </c>
      <c r="E129" s="60">
        <f>Financials!E165/((Financials!E178+Financials!D178)/2)</f>
        <v>0.22606502747005314</v>
      </c>
      <c r="F129" s="60">
        <f>Financials!F165/((Financials!F178+Financials!E178)/2)</f>
        <v>0.21190991424220565</v>
      </c>
      <c r="G129" s="60">
        <f>Financials!G165/((Financials!G178+Financials!F178)/2)</f>
        <v>0.21225181940224688</v>
      </c>
      <c r="H129" s="60">
        <f>Financials!H165/((Financials!H178+Financials!G178)/2)</f>
        <v>0.21218326081392372</v>
      </c>
      <c r="I129" s="60">
        <f>Financials!I165/((Financials!I178+Financials!H178)/2)</f>
        <v>0.19895747599451302</v>
      </c>
      <c r="J129" s="61">
        <f>AVERAGE(E129:I129)</f>
        <v>0.21227349958458847</v>
      </c>
    </row>
    <row r="130" spans="1:10" x14ac:dyDescent="0.35">
      <c r="A130" s="56" t="s">
        <v>74</v>
      </c>
      <c r="B130" s="49" t="s">
        <v>63</v>
      </c>
      <c r="C130" s="50"/>
      <c r="D130" s="50"/>
      <c r="E130" s="50"/>
      <c r="F130" s="50"/>
      <c r="G130" s="50"/>
      <c r="H130" s="50"/>
      <c r="I130" s="50"/>
      <c r="J130" s="50"/>
    </row>
    <row r="131" spans="1:10" x14ac:dyDescent="0.35">
      <c r="A131" s="57" t="s">
        <v>74</v>
      </c>
      <c r="B131" s="57" t="s">
        <v>68</v>
      </c>
      <c r="C131" s="58" t="s">
        <v>134</v>
      </c>
      <c r="D131" s="59" t="s">
        <v>122</v>
      </c>
      <c r="E131" s="62">
        <f>Financials!E158/((Financials!E178+Financials!D178)/2)</f>
        <v>1.71341078987661</v>
      </c>
      <c r="F131" s="62">
        <f>Financials!F158/((Financials!F178+Financials!E178)/2)</f>
        <v>1.5651198204696641</v>
      </c>
      <c r="G131" s="62">
        <f>Financials!G158/((Financials!G178+Financials!F178)/2)</f>
        <v>1.3640924185685013</v>
      </c>
      <c r="H131" s="62">
        <f>Financials!H158/((Financials!H178+Financials!G178)/2)</f>
        <v>1.3861018684412594</v>
      </c>
      <c r="I131" s="62">
        <f>Financials!I158/((Financials!I178+Financials!H178)/2)</f>
        <v>1.4936625514403292</v>
      </c>
      <c r="J131" s="63">
        <f>AVERAGE(E131:I131)</f>
        <v>1.5044774897592728</v>
      </c>
    </row>
    <row r="132" spans="1:10" x14ac:dyDescent="0.35">
      <c r="A132" s="57" t="s">
        <v>74</v>
      </c>
      <c r="B132" s="57" t="s">
        <v>106</v>
      </c>
      <c r="C132" s="58" t="s">
        <v>135</v>
      </c>
      <c r="D132" s="64">
        <f>Financials!D185</f>
        <v>18</v>
      </c>
      <c r="E132" s="64">
        <f>Financials!E185</f>
        <v>25</v>
      </c>
      <c r="F132" s="64">
        <f>Financials!F185</f>
        <v>38</v>
      </c>
      <c r="G132" s="64">
        <f>Financials!G185</f>
        <v>40</v>
      </c>
      <c r="H132" s="64">
        <f>Financials!H185</f>
        <v>43</v>
      </c>
      <c r="I132" s="64">
        <f>Financials!I185</f>
        <v>35</v>
      </c>
      <c r="J132" s="65">
        <f>AVERAGE(E132:I132)</f>
        <v>36.200000000000003</v>
      </c>
    </row>
    <row r="133" spans="1:10" x14ac:dyDescent="0.35">
      <c r="A133" s="57" t="s">
        <v>74</v>
      </c>
      <c r="B133" s="57" t="s">
        <v>107</v>
      </c>
      <c r="C133" s="58" t="s">
        <v>135</v>
      </c>
      <c r="D133" s="64">
        <f>Financials!D186</f>
        <v>108</v>
      </c>
      <c r="E133" s="64">
        <f>Financials!E186</f>
        <v>106</v>
      </c>
      <c r="F133" s="64">
        <f>Financials!F186</f>
        <v>94</v>
      </c>
      <c r="G133" s="64">
        <f>Financials!G186</f>
        <v>116</v>
      </c>
      <c r="H133" s="64">
        <f>Financials!H186</f>
        <v>93</v>
      </c>
      <c r="I133" s="64">
        <f>Financials!I186</f>
        <v>85</v>
      </c>
      <c r="J133" s="65">
        <f>AVERAGE(E133:I133)</f>
        <v>98.8</v>
      </c>
    </row>
    <row r="134" spans="1:10" x14ac:dyDescent="0.35">
      <c r="A134" s="57" t="s">
        <v>74</v>
      </c>
      <c r="B134" s="57" t="s">
        <v>136</v>
      </c>
      <c r="C134" s="58" t="s">
        <v>135</v>
      </c>
      <c r="D134" s="64">
        <f>Financials!D187</f>
        <v>109</v>
      </c>
      <c r="E134" s="64">
        <f>Financials!E187</f>
        <v>101</v>
      </c>
      <c r="F134" s="64">
        <f>Financials!F187</f>
        <v>112</v>
      </c>
      <c r="G134" s="64">
        <f>Financials!G187</f>
        <v>137</v>
      </c>
      <c r="H134" s="64">
        <f>Financials!H187</f>
        <v>103</v>
      </c>
      <c r="I134" s="64">
        <f>Financials!I187</f>
        <v>108</v>
      </c>
      <c r="J134" s="65">
        <f>AVERAGE(E134:I134)</f>
        <v>112.2</v>
      </c>
    </row>
    <row r="135" spans="1:10" x14ac:dyDescent="0.35">
      <c r="A135" s="57" t="s">
        <v>74</v>
      </c>
      <c r="B135" s="57" t="s">
        <v>137</v>
      </c>
      <c r="C135" s="58" t="s">
        <v>138</v>
      </c>
      <c r="D135" s="66">
        <f t="shared" ref="D135:I135" si="4">D132+D133-D134</f>
        <v>17</v>
      </c>
      <c r="E135" s="66">
        <f t="shared" si="4"/>
        <v>30</v>
      </c>
      <c r="F135" s="66">
        <f t="shared" si="4"/>
        <v>20</v>
      </c>
      <c r="G135" s="66">
        <f t="shared" si="4"/>
        <v>19</v>
      </c>
      <c r="H135" s="66">
        <f t="shared" si="4"/>
        <v>33</v>
      </c>
      <c r="I135" s="66">
        <f t="shared" si="4"/>
        <v>12</v>
      </c>
      <c r="J135" s="65">
        <f>AVERAGE(E135:I135)</f>
        <v>22.8</v>
      </c>
    </row>
    <row r="136" spans="1:10" x14ac:dyDescent="0.35">
      <c r="A136" s="56" t="s">
        <v>74</v>
      </c>
      <c r="B136" s="49" t="s">
        <v>139</v>
      </c>
      <c r="C136" s="50"/>
      <c r="D136" s="50"/>
      <c r="E136" s="50"/>
      <c r="F136" s="50"/>
      <c r="G136" s="50"/>
      <c r="H136" s="50"/>
      <c r="I136" s="50"/>
      <c r="J136" s="50"/>
    </row>
    <row r="137" spans="1:10" x14ac:dyDescent="0.35">
      <c r="A137" s="57" t="s">
        <v>74</v>
      </c>
      <c r="B137" s="57" t="s">
        <v>49</v>
      </c>
      <c r="C137" s="58" t="s">
        <v>140</v>
      </c>
      <c r="D137" s="62">
        <f>Financials!D171/Financials!D189</f>
        <v>0.15771604938271605</v>
      </c>
      <c r="E137" s="62">
        <f>Financials!E171/Financials!E189</f>
        <v>0.1430704898446834</v>
      </c>
      <c r="F137" s="62">
        <f>Financials!F171/Financials!F189</f>
        <v>0.16004211634640694</v>
      </c>
      <c r="G137" s="62">
        <f>Financials!G171/Financials!G189</f>
        <v>0.13778705636743216</v>
      </c>
      <c r="H137" s="62">
        <f>Financials!H171/Financials!H189</f>
        <v>0.13937106918238995</v>
      </c>
      <c r="I137" s="62">
        <f>Financials!I171/Financials!I189</f>
        <v>0.1323040380047506</v>
      </c>
      <c r="J137" s="63">
        <f>AVERAGE(E137:I137)</f>
        <v>0.14251495394913261</v>
      </c>
    </row>
    <row r="138" spans="1:10" x14ac:dyDescent="0.35">
      <c r="A138" s="57" t="s">
        <v>74</v>
      </c>
      <c r="B138" s="57" t="s">
        <v>141</v>
      </c>
      <c r="C138" s="58" t="s">
        <v>142</v>
      </c>
      <c r="D138" s="62">
        <f>IFERROR(Financials!D190/Financials!D162,0)</f>
        <v>45.794117647058826</v>
      </c>
      <c r="E138" s="62">
        <f>IFERROR(Financials!E190/Financials!E162,0)</f>
        <v>42.051282051282051</v>
      </c>
      <c r="F138" s="62">
        <f>IFERROR(Financials!F190/Financials!F162,0)</f>
        <v>32.125</v>
      </c>
      <c r="G138" s="62">
        <f>IFERROR(Financials!G190/Financials!G162,0)</f>
        <v>27.534246575342465</v>
      </c>
      <c r="H138" s="62">
        <f>IFERROR(Financials!H190/Financials!H162,0)</f>
        <v>40.924528301886795</v>
      </c>
      <c r="I138" s="62">
        <f>IFERROR(Financials!I190/Financials!I162,0)</f>
        <v>43.962264150943398</v>
      </c>
      <c r="J138" s="63">
        <f>AVERAGE(E138:I138)</f>
        <v>37.319464215890932</v>
      </c>
    </row>
    <row r="139" spans="1:10" x14ac:dyDescent="0.35">
      <c r="A139" s="56" t="s">
        <v>74</v>
      </c>
      <c r="B139" s="49" t="s">
        <v>143</v>
      </c>
      <c r="C139" s="50"/>
      <c r="D139" s="50"/>
      <c r="E139" s="50"/>
      <c r="F139" s="50"/>
      <c r="G139" s="50"/>
      <c r="H139" s="50"/>
      <c r="I139" s="50"/>
      <c r="J139" s="50"/>
    </row>
    <row r="140" spans="1:10" x14ac:dyDescent="0.35">
      <c r="A140" s="57" t="s">
        <v>74</v>
      </c>
      <c r="B140" s="57" t="s">
        <v>144</v>
      </c>
      <c r="C140" s="58" t="s">
        <v>145</v>
      </c>
      <c r="D140" s="62">
        <f>Financials!D180/Financials!D165</f>
        <v>1.6738949124270226</v>
      </c>
      <c r="E140" s="62">
        <f>Financials!E180/Financials!E165</f>
        <v>0.80956175298804778</v>
      </c>
      <c r="F140" s="62">
        <f>Financials!F180/Financials!F165</f>
        <v>1.073373676248109</v>
      </c>
      <c r="G140" s="62">
        <f>Financials!G180/Financials!G165</f>
        <v>0.9234354194407457</v>
      </c>
      <c r="H140" s="62">
        <f>Financials!H180/Financials!H165</f>
        <v>0.82207478890229191</v>
      </c>
      <c r="I140" s="62">
        <f>Financials!I180/Financials!I165</f>
        <v>1.1494760066188638</v>
      </c>
      <c r="J140" s="63">
        <f>AVERAGE(E140:I140)</f>
        <v>0.95558432883961153</v>
      </c>
    </row>
    <row r="141" spans="1:10" x14ac:dyDescent="0.35">
      <c r="A141" s="57" t="s">
        <v>74</v>
      </c>
      <c r="B141" s="57" t="s">
        <v>146</v>
      </c>
      <c r="C141" s="58" t="s">
        <v>147</v>
      </c>
      <c r="D141" s="60">
        <f>Financials!D183/Financials!D158</f>
        <v>0.23235586481113321</v>
      </c>
      <c r="E141" s="60">
        <f>Financials!E183/Financials!E158</f>
        <v>9.2935239697224559E-2</v>
      </c>
      <c r="F141" s="60">
        <f>Financials!F183/Financials!F158</f>
        <v>0.12668988119623106</v>
      </c>
      <c r="G141" s="60">
        <f>Financials!G183/Financials!G158</f>
        <v>0.12783590593597846</v>
      </c>
      <c r="H141" s="60">
        <f>Financials!H183/Financials!H158</f>
        <v>0.1145785246052996</v>
      </c>
      <c r="I141" s="60">
        <f>Financials!I183/Financials!I158</f>
        <v>0.13018881786790096</v>
      </c>
      <c r="J141" s="61">
        <f>AVERAGE(E141:I141)</f>
        <v>0.11844567386052693</v>
      </c>
    </row>
    <row r="142" spans="1:10" x14ac:dyDescent="0.35">
      <c r="A142" s="57" t="s">
        <v>74</v>
      </c>
      <c r="B142" s="57" t="s">
        <v>148</v>
      </c>
      <c r="C142" s="58" t="s">
        <v>135</v>
      </c>
      <c r="D142" s="67">
        <f>Financials!D167</f>
        <v>0.83</v>
      </c>
      <c r="E142" s="67">
        <f>Financials!E167</f>
        <v>0.97</v>
      </c>
      <c r="F142" s="67">
        <f>Financials!F167</f>
        <v>0.45</v>
      </c>
      <c r="G142" s="67">
        <f>Financials!G167</f>
        <v>0.83</v>
      </c>
      <c r="H142" s="67">
        <f>Financials!H167</f>
        <v>0.83</v>
      </c>
      <c r="I142" s="67">
        <f>Financials!I167</f>
        <v>0.3</v>
      </c>
      <c r="J142" s="61">
        <f>AVERAGE(E142:I142)</f>
        <v>0.67599999999999993</v>
      </c>
    </row>
    <row r="143" spans="1:10" x14ac:dyDescent="0.35">
      <c r="A143" s="56" t="s">
        <v>74</v>
      </c>
      <c r="B143" s="49" t="s">
        <v>149</v>
      </c>
      <c r="C143" s="50"/>
      <c r="D143" s="50"/>
      <c r="E143" s="50"/>
      <c r="F143" s="50"/>
      <c r="G143" s="50"/>
      <c r="H143" s="50"/>
      <c r="I143" s="50"/>
      <c r="J143" s="50"/>
    </row>
    <row r="144" spans="1:10" x14ac:dyDescent="0.35">
      <c r="A144" s="57" t="s">
        <v>74</v>
      </c>
      <c r="B144" s="57" t="s">
        <v>60</v>
      </c>
      <c r="C144" s="58" t="s">
        <v>127</v>
      </c>
      <c r="D144" s="60">
        <f>Financials!D165/Financials!D158</f>
        <v>0.14898111332007952</v>
      </c>
      <c r="E144" s="60">
        <f>Financials!E165/Financials!E158</f>
        <v>0.1319386038687973</v>
      </c>
      <c r="F144" s="60">
        <f>Financials!F165/Financials!F158</f>
        <v>0.13539532978287588</v>
      </c>
      <c r="G144" s="60">
        <f>Financials!G165/Financials!G158</f>
        <v>0.15559929555578578</v>
      </c>
      <c r="H144" s="60">
        <f>Financials!H165/Financials!H158</f>
        <v>0.1530791247345582</v>
      </c>
      <c r="I144" s="60">
        <f>Financials!I165/Financials!I158</f>
        <v>0.13320108735581515</v>
      </c>
      <c r="J144" s="61">
        <f>AVERAGE(E144:I144)</f>
        <v>0.14184268825956647</v>
      </c>
    </row>
    <row r="145" spans="1:10" x14ac:dyDescent="0.35">
      <c r="A145" s="57" t="s">
        <v>74</v>
      </c>
      <c r="B145" s="57" t="s">
        <v>62</v>
      </c>
      <c r="C145" s="58" t="s">
        <v>134</v>
      </c>
      <c r="D145" s="59" t="s">
        <v>122</v>
      </c>
      <c r="E145" s="62">
        <f>Financials!E158/((Financials!E178+Financials!D178)/2)</f>
        <v>1.71341078987661</v>
      </c>
      <c r="F145" s="62">
        <f>Financials!F158/((Financials!F178+Financials!E178)/2)</f>
        <v>1.5651198204696641</v>
      </c>
      <c r="G145" s="62">
        <f>Financials!G158/((Financials!G178+Financials!F178)/2)</f>
        <v>1.3640924185685013</v>
      </c>
      <c r="H145" s="62">
        <f>Financials!H158/((Financials!H178+Financials!G178)/2)</f>
        <v>1.3861018684412594</v>
      </c>
      <c r="I145" s="62">
        <f>Financials!I158/((Financials!I178+Financials!H178)/2)</f>
        <v>1.4936625514403292</v>
      </c>
      <c r="J145" s="63">
        <f>AVERAGE(E145:I145)</f>
        <v>1.5044774897592728</v>
      </c>
    </row>
    <row r="146" spans="1:10" x14ac:dyDescent="0.35">
      <c r="A146" s="57" t="s">
        <v>74</v>
      </c>
      <c r="B146" s="57" t="s">
        <v>64</v>
      </c>
      <c r="C146" s="58" t="s">
        <v>150</v>
      </c>
      <c r="D146" s="59" t="s">
        <v>122</v>
      </c>
      <c r="E146" s="62">
        <f>((Financials!E178+Financials!D178)/2)/((Financials!E189+Financials!D189)/2)</f>
        <v>1.6853369763205828</v>
      </c>
      <c r="F146" s="62">
        <f>((Financials!F178+Financials!E178)/2)/((Financials!F189+Financials!E189)/2)</f>
        <v>1.7457674548761719</v>
      </c>
      <c r="G146" s="62">
        <f>((Financials!G178+Financials!F178)/2)/((Financials!G189+Financials!F189)/2)</f>
        <v>1.8546717337177303</v>
      </c>
      <c r="H146" s="62">
        <f>((Financials!H178+Financials!G178)/2)/((Financials!H189+Financials!G189)/2)</f>
        <v>2.0017932624567694</v>
      </c>
      <c r="I146" s="62">
        <f>((Financials!I178+Financials!H178)/2)/((Financials!I189+Financials!H189)/2)</f>
        <v>2.2266340867440442</v>
      </c>
      <c r="J146" s="63">
        <f>AVERAGE(E146:I146)</f>
        <v>1.9028407028230596</v>
      </c>
    </row>
    <row r="147" spans="1:10" x14ac:dyDescent="0.35">
      <c r="A147" s="57" t="s">
        <v>74</v>
      </c>
      <c r="B147" s="57" t="s">
        <v>151</v>
      </c>
      <c r="C147" s="58" t="s">
        <v>152</v>
      </c>
      <c r="D147" s="59" t="s">
        <v>122</v>
      </c>
      <c r="E147" s="60">
        <f>E144*E145*E146</f>
        <v>0.38099574984820883</v>
      </c>
      <c r="F147" s="60">
        <f>F144*F145*F146</f>
        <v>0.36994543164964327</v>
      </c>
      <c r="G147" s="60">
        <f>G144*G145*G146</f>
        <v>0.39365744987550783</v>
      </c>
      <c r="H147" s="60">
        <f>H144*H145*H146</f>
        <v>0.42474702190341995</v>
      </c>
      <c r="I147" s="60">
        <f>I144*I145*I146</f>
        <v>0.4430054978619426</v>
      </c>
      <c r="J147" s="61">
        <f>AVERAGE(E147:I147)</f>
        <v>0.40247023022774453</v>
      </c>
    </row>
  </sheetData>
  <sheetProtection algorithmName="SHA-512" hashValue="rT5EjrmDT64reXPZCvxwi7BlHprXPv7tZwM0ffKxgLAXub2rNfGJbZ8UunSvHhtZJqqR+i5R+chXS77C5bQnzQ==" saltValue="9WNBtbabjlkxVuKd3zSSKA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zoomScaleNormal="100" workbookViewId="0"/>
  </sheetViews>
  <sheetFormatPr defaultColWidth="8.6328125" defaultRowHeight="14.5" x14ac:dyDescent="0.35"/>
  <cols>
    <col min="1" max="1" width="32" customWidth="1"/>
    <col min="2" max="6" width="13" customWidth="1"/>
  </cols>
  <sheetData>
    <row r="1" spans="1:6" ht="16.5" x14ac:dyDescent="0.35">
      <c r="A1" s="47" t="s">
        <v>153</v>
      </c>
    </row>
    <row r="2" spans="1:6" x14ac:dyDescent="0.35">
      <c r="A2" s="20" t="s">
        <v>154</v>
      </c>
    </row>
    <row r="4" spans="1:6" x14ac:dyDescent="0.35">
      <c r="A4" s="38" t="s">
        <v>155</v>
      </c>
    </row>
    <row r="5" spans="1:6" x14ac:dyDescent="0.35">
      <c r="A5" s="68" t="s">
        <v>50</v>
      </c>
      <c r="B5" s="68" t="s">
        <v>71</v>
      </c>
      <c r="C5" s="68" t="s">
        <v>72</v>
      </c>
      <c r="D5" s="68" t="s">
        <v>73</v>
      </c>
      <c r="E5" s="68" t="s">
        <v>40</v>
      </c>
      <c r="F5" s="68" t="s">
        <v>74</v>
      </c>
    </row>
    <row r="6" spans="1:6" x14ac:dyDescent="0.35">
      <c r="A6" s="57" t="s">
        <v>156</v>
      </c>
      <c r="B6" s="60">
        <f>(Financials!I6/Financials!D6)^(1/5)-1</f>
        <v>6.5117542409641516E-2</v>
      </c>
      <c r="C6" s="60">
        <f>(Financials!I44/Financials!D44)^(1/5)-1</f>
        <v>9.8718846334689747E-2</v>
      </c>
      <c r="D6" s="60">
        <f>(Financials!I82/Financials!D82)^(1/5)-1</f>
        <v>6.6495346028415225E-2</v>
      </c>
      <c r="E6" s="60">
        <f>(Financials!I120/Financials!D120)^(1/5)-1</f>
        <v>7.8326302554289962E-2</v>
      </c>
      <c r="F6" s="60">
        <f>(Financials!I158/Financials!D158)^(1/5)-1</f>
        <v>0.11081161763803493</v>
      </c>
    </row>
    <row r="7" spans="1:6" x14ac:dyDescent="0.35">
      <c r="A7" s="57" t="s">
        <v>157</v>
      </c>
      <c r="B7" s="60">
        <f>(Financials!I13/Financials!D13)^(1/5)-1</f>
        <v>0.13488560470492494</v>
      </c>
      <c r="C7" s="60">
        <f>(Financials!I51/Financials!D51)^(1/5)-1</f>
        <v>9.447937515729099E-2</v>
      </c>
      <c r="D7" s="60">
        <f>(Financials!I89/Financials!D89)^(1/5)-1</f>
        <v>1.9736394905104593E-2</v>
      </c>
      <c r="E7" s="60">
        <f>(Financials!I127/Financials!D127)^(1/5)-1</f>
        <v>6.508142262196337E-2</v>
      </c>
      <c r="F7" s="60">
        <f>(Financials!I165/Financials!D165)^(1/5)-1</f>
        <v>8.6214820786185919E-2</v>
      </c>
    </row>
    <row r="8" spans="1:6" x14ac:dyDescent="0.35">
      <c r="A8" s="57" t="s">
        <v>47</v>
      </c>
      <c r="B8" s="67">
        <f>Ratios!I9</f>
        <v>0.23327852578023206</v>
      </c>
      <c r="C8" s="67">
        <f>Ratios!I38</f>
        <v>0.34622407059897553</v>
      </c>
      <c r="D8" s="67">
        <f>Ratios!I67</f>
        <v>0.18570454028651559</v>
      </c>
      <c r="E8" s="67">
        <f>Ratios!I96</f>
        <v>0.18347953216374269</v>
      </c>
      <c r="F8" s="67">
        <f>Ratios!I125</f>
        <v>0.17103813092351774</v>
      </c>
    </row>
    <row r="9" spans="1:6" x14ac:dyDescent="0.35">
      <c r="A9" s="57" t="s">
        <v>60</v>
      </c>
      <c r="B9" s="67">
        <f>Ratios!I10</f>
        <v>0.2335887572128808</v>
      </c>
      <c r="C9" s="67">
        <f>Ratios!I39</f>
        <v>0.26649591722878735</v>
      </c>
      <c r="D9" s="67">
        <f>Ratios!I68</f>
        <v>0.14166603501857045</v>
      </c>
      <c r="E9" s="67">
        <f>Ratios!I97</f>
        <v>0.13246658312447787</v>
      </c>
      <c r="F9" s="67">
        <f>Ratios!I126</f>
        <v>0.13320108735581515</v>
      </c>
    </row>
    <row r="10" spans="1:6" x14ac:dyDescent="0.35">
      <c r="A10" s="57" t="s">
        <v>46</v>
      </c>
      <c r="B10" s="67">
        <f>Ratios!I11</f>
        <v>0.30688499200130426</v>
      </c>
      <c r="C10" s="67">
        <f>Ratios!I40</f>
        <v>0.2949128998084708</v>
      </c>
      <c r="D10" s="67">
        <f>Ratios!I69</f>
        <v>0.16823439398712814</v>
      </c>
      <c r="E10" s="67">
        <f>Ratios!I98</f>
        <v>0.53625026421475375</v>
      </c>
      <c r="F10" s="67">
        <f>Ratios!I127</f>
        <v>0.4430054978619426</v>
      </c>
    </row>
    <row r="11" spans="1:6" x14ac:dyDescent="0.35">
      <c r="A11" s="57" t="s">
        <v>57</v>
      </c>
      <c r="B11" s="67">
        <f>Ratios!I12</f>
        <v>0.36791847294775198</v>
      </c>
      <c r="C11" s="67">
        <f>Ratios!I41</f>
        <v>0.38724426907954085</v>
      </c>
      <c r="D11" s="67">
        <f>Ratios!I70</f>
        <v>0.20976447497546613</v>
      </c>
      <c r="E11" s="67">
        <f>Ratios!I99</f>
        <v>0.56282570932252463</v>
      </c>
      <c r="F11" s="67">
        <f>Ratios!I128</f>
        <v>0.50129087779690185</v>
      </c>
    </row>
    <row r="12" spans="1:6" x14ac:dyDescent="0.35">
      <c r="A12" s="57" t="s">
        <v>158</v>
      </c>
      <c r="B12" s="67">
        <f>Ratios!I13</f>
        <v>0.18870809080143608</v>
      </c>
      <c r="C12" s="67">
        <f>Ratios!I42</f>
        <v>0.23142479630037438</v>
      </c>
      <c r="D12" s="67">
        <f>Ratios!I71</f>
        <v>0.11088697715811333</v>
      </c>
      <c r="E12" s="67">
        <f>Ratios!I100</f>
        <v>0.27328055151613079</v>
      </c>
      <c r="F12" s="67">
        <f>Ratios!I129</f>
        <v>0.19895747599451302</v>
      </c>
    </row>
    <row r="13" spans="1:6" x14ac:dyDescent="0.35">
      <c r="A13" s="57" t="s">
        <v>68</v>
      </c>
      <c r="B13" s="69">
        <f>Ratios!I15</f>
        <v>0.80786461237711538</v>
      </c>
      <c r="C13" s="69">
        <f>Ratios!I44</f>
        <v>0.86839903105042937</v>
      </c>
      <c r="D13" s="69">
        <f>Ratios!I73</f>
        <v>0.78273509344408188</v>
      </c>
      <c r="E13" s="69">
        <f>Ratios!I102</f>
        <v>2.0630150266602034</v>
      </c>
      <c r="F13" s="69">
        <f>Ratios!I131</f>
        <v>1.4936625514403292</v>
      </c>
    </row>
    <row r="14" spans="1:6" x14ac:dyDescent="0.35">
      <c r="A14" s="57" t="s">
        <v>137</v>
      </c>
      <c r="B14" s="64">
        <f>Ratios!I19</f>
        <v>-89</v>
      </c>
      <c r="C14" s="64">
        <f>Ratios!I48</f>
        <v>164</v>
      </c>
      <c r="D14" s="64">
        <f>Ratios!I77</f>
        <v>-26</v>
      </c>
      <c r="E14" s="64">
        <f>Ratios!I106</f>
        <v>-9</v>
      </c>
      <c r="F14" s="64">
        <f>Ratios!I135</f>
        <v>12</v>
      </c>
    </row>
    <row r="15" spans="1:6" x14ac:dyDescent="0.35">
      <c r="A15" s="57" t="s">
        <v>49</v>
      </c>
      <c r="B15" s="69">
        <f>Ratios!I21</f>
        <v>3.032479123494532E-2</v>
      </c>
      <c r="C15" s="69">
        <f>Ratios!I50</f>
        <v>3.3086460617595542E-2</v>
      </c>
      <c r="D15" s="69">
        <f>Ratios!I79</f>
        <v>0.11270689202206849</v>
      </c>
      <c r="E15" s="69">
        <f>Ratios!I108</f>
        <v>0.27027027027027029</v>
      </c>
      <c r="F15" s="69">
        <f>Ratios!I137</f>
        <v>0.1323040380047506</v>
      </c>
    </row>
    <row r="16" spans="1:6" x14ac:dyDescent="0.35">
      <c r="A16" s="57" t="s">
        <v>141</v>
      </c>
      <c r="B16" s="69">
        <f>Ratios!I22</f>
        <v>45.436585365853659</v>
      </c>
      <c r="C16" s="69">
        <f>Ratios!I51</f>
        <v>330.8</v>
      </c>
      <c r="D16" s="69">
        <f>Ratios!I80</f>
        <v>17.689655172413794</v>
      </c>
      <c r="E16" s="69">
        <f>Ratios!I109</f>
        <v>30.106194690265486</v>
      </c>
      <c r="F16" s="69">
        <f>Ratios!I138</f>
        <v>43.962264150943398</v>
      </c>
    </row>
    <row r="17" spans="1:6" x14ac:dyDescent="0.35">
      <c r="A17" s="57" t="s">
        <v>159</v>
      </c>
      <c r="B17" s="69">
        <f>Ratios!I24</f>
        <v>0.73039378444783853</v>
      </c>
      <c r="C17" s="69">
        <f>Ratios!I53</f>
        <v>0.87848510800266433</v>
      </c>
      <c r="D17" s="69">
        <f>Ratios!I82</f>
        <v>1.3798822899946495</v>
      </c>
      <c r="E17" s="69">
        <f>Ratios!I111</f>
        <v>1.0295624753646038</v>
      </c>
      <c r="F17" s="69">
        <f>Ratios!I140</f>
        <v>1.1494760066188638</v>
      </c>
    </row>
    <row r="18" spans="1:6" x14ac:dyDescent="0.35">
      <c r="A18" s="57" t="s">
        <v>146</v>
      </c>
      <c r="B18" s="67">
        <f>Ratios!I25</f>
        <v>0.14995036297077619</v>
      </c>
      <c r="C18" s="67">
        <f>Ratios!I54</f>
        <v>0.20708018461226352</v>
      </c>
      <c r="D18" s="67">
        <f>Ratios!I83</f>
        <v>0.16523914196922609</v>
      </c>
      <c r="E18" s="67">
        <f>Ratios!I112</f>
        <v>0.12573099415204678</v>
      </c>
      <c r="F18" s="67">
        <f>Ratios!I141</f>
        <v>0.13018881786790096</v>
      </c>
    </row>
    <row r="19" spans="1:6" x14ac:dyDescent="0.35">
      <c r="A19" s="57" t="s">
        <v>148</v>
      </c>
      <c r="B19" s="67">
        <f>Ratios!I26</f>
        <v>0.64</v>
      </c>
      <c r="C19" s="67">
        <f>Ratios!I55</f>
        <v>0.88</v>
      </c>
      <c r="D19" s="67">
        <f>Ratios!I84</f>
        <v>0.77</v>
      </c>
      <c r="E19" s="67">
        <f>Ratios!I113</f>
        <v>0.86</v>
      </c>
      <c r="F19" s="67">
        <f>Ratios!I142</f>
        <v>0.3</v>
      </c>
    </row>
    <row r="22" spans="1:6" x14ac:dyDescent="0.35">
      <c r="A22" s="38" t="s">
        <v>160</v>
      </c>
    </row>
    <row r="23" spans="1:6" x14ac:dyDescent="0.35">
      <c r="A23" s="68" t="s">
        <v>50</v>
      </c>
      <c r="B23" s="68" t="s">
        <v>71</v>
      </c>
      <c r="C23" s="68" t="s">
        <v>72</v>
      </c>
      <c r="D23" s="68" t="s">
        <v>73</v>
      </c>
      <c r="E23" s="68" t="s">
        <v>40</v>
      </c>
      <c r="F23" s="68" t="s">
        <v>74</v>
      </c>
    </row>
    <row r="24" spans="1:6" x14ac:dyDescent="0.35">
      <c r="A24" s="57" t="s">
        <v>47</v>
      </c>
      <c r="B24" s="67">
        <f>Ratios!J9</f>
        <v>0.23768934557341992</v>
      </c>
      <c r="C24" s="67">
        <f>Ratios!J38</f>
        <v>0.35249179681726223</v>
      </c>
      <c r="D24" s="67">
        <f>Ratios!J67</f>
        <v>0.1915732883251404</v>
      </c>
      <c r="E24" s="67">
        <f>Ratios!J96</f>
        <v>0.17574339416730661</v>
      </c>
      <c r="F24" s="67">
        <f>Ratios!J125</f>
        <v>0.18810174860948117</v>
      </c>
    </row>
    <row r="25" spans="1:6" x14ac:dyDescent="0.35">
      <c r="A25" s="57" t="s">
        <v>60</v>
      </c>
      <c r="B25" s="67">
        <f>Ratios!J10</f>
        <v>0.18213645108924306</v>
      </c>
      <c r="C25" s="67">
        <f>Ratios!J39</f>
        <v>0.31351830662843372</v>
      </c>
      <c r="D25" s="67">
        <f>Ratios!J68</f>
        <v>0.14673508436842958</v>
      </c>
      <c r="E25" s="67">
        <f>Ratios!J97</f>
        <v>0.12608613768561455</v>
      </c>
      <c r="F25" s="67">
        <f>Ratios!J126</f>
        <v>0.14184268825956647</v>
      </c>
    </row>
    <row r="26" spans="1:6" x14ac:dyDescent="0.35">
      <c r="A26" s="57" t="s">
        <v>46</v>
      </c>
      <c r="B26" s="67">
        <f>Ratios!J11</f>
        <v>0.2219091743660499</v>
      </c>
      <c r="C26" s="67">
        <f>Ratios!J40</f>
        <v>0.32345844052407252</v>
      </c>
      <c r="D26" s="67">
        <f>Ratios!J69</f>
        <v>0.18840752448698811</v>
      </c>
      <c r="E26" s="67">
        <f>Ratios!J98</f>
        <v>0.57782627891717042</v>
      </c>
      <c r="F26" s="67">
        <f>Ratios!J127</f>
        <v>0.40247023022774453</v>
      </c>
    </row>
    <row r="27" spans="1:6" x14ac:dyDescent="0.35">
      <c r="A27" s="57" t="s">
        <v>57</v>
      </c>
      <c r="B27" s="67">
        <f>Ratios!J12</f>
        <v>0.28737019734949742</v>
      </c>
      <c r="C27" s="67">
        <f>Ratios!J41</f>
        <v>0.41417116233774492</v>
      </c>
      <c r="D27" s="67">
        <f>Ratios!J70</f>
        <v>0.23004354155764509</v>
      </c>
      <c r="E27" s="67">
        <f>Ratios!J99</f>
        <v>0.51019283462108089</v>
      </c>
      <c r="F27" s="67">
        <f>Ratios!J128</f>
        <v>0.46352960480295397</v>
      </c>
    </row>
    <row r="28" spans="1:6" x14ac:dyDescent="0.35">
      <c r="A28" s="57" t="s">
        <v>158</v>
      </c>
      <c r="B28" s="67">
        <f>Ratios!J13</f>
        <v>0.14563223962173252</v>
      </c>
      <c r="C28" s="67">
        <f>Ratios!J42</f>
        <v>0.25989193898677954</v>
      </c>
      <c r="D28" s="67">
        <f>Ratios!J71</f>
        <v>0.12593575229272089</v>
      </c>
      <c r="E28" s="67">
        <f>Ratios!J100</f>
        <v>0.2435897365842486</v>
      </c>
      <c r="F28" s="67">
        <f>Ratios!J129</f>
        <v>0.21227349958458847</v>
      </c>
    </row>
    <row r="29" spans="1:6" x14ac:dyDescent="0.35">
      <c r="A29" s="57" t="s">
        <v>68</v>
      </c>
      <c r="B29" s="69">
        <f>Ratios!J15</f>
        <v>0.7992627808710191</v>
      </c>
      <c r="C29" s="69">
        <f>Ratios!J44</f>
        <v>0.82900461036068385</v>
      </c>
      <c r="D29" s="69">
        <f>Ratios!J73</f>
        <v>0.85555312242667525</v>
      </c>
      <c r="E29" s="69">
        <f>Ratios!J102</f>
        <v>1.9280297353647502</v>
      </c>
      <c r="F29" s="69">
        <f>Ratios!J131</f>
        <v>1.5044774897592728</v>
      </c>
    </row>
    <row r="30" spans="1:6" x14ac:dyDescent="0.35">
      <c r="A30" s="57" t="s">
        <v>137</v>
      </c>
      <c r="B30" s="64">
        <f>Ratios!J19</f>
        <v>-68.8</v>
      </c>
      <c r="C30" s="64">
        <f>Ratios!J48</f>
        <v>133.19999999999999</v>
      </c>
      <c r="D30" s="64">
        <f>Ratios!J77</f>
        <v>-4.8</v>
      </c>
      <c r="E30" s="64">
        <f>Ratios!J106</f>
        <v>-3.6</v>
      </c>
      <c r="F30" s="64">
        <f>Ratios!J135</f>
        <v>22.8</v>
      </c>
    </row>
    <row r="31" spans="1:6" x14ac:dyDescent="0.35">
      <c r="A31" s="57" t="s">
        <v>49</v>
      </c>
      <c r="B31" s="69">
        <f>Ratios!J21</f>
        <v>2.7629973480486958E-2</v>
      </c>
      <c r="C31" s="69">
        <f>Ratios!J50</f>
        <v>9.9269180629650341E-3</v>
      </c>
      <c r="D31" s="69">
        <f>Ratios!J79</f>
        <v>0.11854862402124748</v>
      </c>
      <c r="E31" s="69">
        <f>Ratios!J108</f>
        <v>0.5796933322349479</v>
      </c>
      <c r="F31" s="69">
        <f>Ratios!J137</f>
        <v>0.14251495394913261</v>
      </c>
    </row>
    <row r="32" spans="1:6" x14ac:dyDescent="0.35">
      <c r="A32" s="57" t="s">
        <v>141</v>
      </c>
      <c r="B32" s="69">
        <f>Ratios!J22</f>
        <v>71.619001963209712</v>
      </c>
      <c r="C32" s="69">
        <f>Ratios!J51</f>
        <v>527.21692307692308</v>
      </c>
      <c r="D32" s="69">
        <f>Ratios!J80</f>
        <v>28.222069306386572</v>
      </c>
      <c r="E32" s="69">
        <f>Ratios!J109</f>
        <v>21.060648977347391</v>
      </c>
      <c r="F32" s="69">
        <f>Ratios!J138</f>
        <v>37.319464215890932</v>
      </c>
    </row>
    <row r="33" spans="1:6" x14ac:dyDescent="0.35">
      <c r="A33" s="57" t="s">
        <v>159</v>
      </c>
      <c r="B33" s="69">
        <f>Ratios!J24</f>
        <v>1.0702571543644599</v>
      </c>
      <c r="C33" s="69">
        <f>Ratios!J53</f>
        <v>0.83921710614396527</v>
      </c>
      <c r="D33" s="69">
        <f>Ratios!J82</f>
        <v>1.1085199217025745</v>
      </c>
      <c r="E33" s="69">
        <f>Ratios!J111</f>
        <v>1.0654365256778546</v>
      </c>
      <c r="F33" s="69">
        <f>Ratios!J140</f>
        <v>0.95558432883961153</v>
      </c>
    </row>
    <row r="34" spans="1:6" x14ac:dyDescent="0.35">
      <c r="A34" s="57" t="s">
        <v>146</v>
      </c>
      <c r="B34" s="67">
        <f>Ratios!J25</f>
        <v>0.17004776090411516</v>
      </c>
      <c r="C34" s="67">
        <f>Ratios!J54</f>
        <v>0.21408369199121902</v>
      </c>
      <c r="D34" s="67">
        <f>Ratios!J83</f>
        <v>0.12324580522675437</v>
      </c>
      <c r="E34" s="67">
        <f>Ratios!J112</f>
        <v>0.10750896959088127</v>
      </c>
      <c r="F34" s="67">
        <f>Ratios!J141</f>
        <v>0.11844567386052693</v>
      </c>
    </row>
    <row r="35" spans="1:6" x14ac:dyDescent="0.35">
      <c r="A35" s="57" t="s">
        <v>148</v>
      </c>
      <c r="B35" s="67">
        <f>Ratios!J26</f>
        <v>0.91600000000000004</v>
      </c>
      <c r="C35" s="67">
        <f>Ratios!J55</f>
        <v>0.83399999999999996</v>
      </c>
      <c r="D35" s="67">
        <f>Ratios!J84</f>
        <v>0.63400000000000012</v>
      </c>
      <c r="E35" s="67">
        <f>Ratios!J113</f>
        <v>0.83200000000000007</v>
      </c>
      <c r="F35" s="67">
        <f>Ratios!J142</f>
        <v>0.67599999999999993</v>
      </c>
    </row>
    <row r="38" spans="1:6" x14ac:dyDescent="0.35">
      <c r="A38" s="38" t="s">
        <v>161</v>
      </c>
    </row>
    <row r="39" spans="1:6" x14ac:dyDescent="0.35">
      <c r="A39" s="68" t="s">
        <v>50</v>
      </c>
      <c r="B39" s="68" t="s">
        <v>71</v>
      </c>
      <c r="C39" s="68" t="s">
        <v>72</v>
      </c>
      <c r="D39" s="68" t="s">
        <v>73</v>
      </c>
      <c r="E39" s="68" t="s">
        <v>40</v>
      </c>
      <c r="F39" s="68" t="s">
        <v>74</v>
      </c>
    </row>
    <row r="40" spans="1:6" x14ac:dyDescent="0.35">
      <c r="A40" s="57" t="s">
        <v>156</v>
      </c>
      <c r="B40" s="70">
        <f>RANK(B6,$B$6:$F$6,0)</f>
        <v>5</v>
      </c>
      <c r="C40" s="70">
        <f>RANK(C6,$B$6:$F$6,0)</f>
        <v>2</v>
      </c>
      <c r="D40" s="70">
        <f>RANK(D6,$B$6:$F$6,0)</f>
        <v>4</v>
      </c>
      <c r="E40" s="70">
        <f>RANK(E6,$B$6:$F$6,0)</f>
        <v>3</v>
      </c>
      <c r="F40" s="70">
        <f>RANK(F6,$B$6:$F$6,0)</f>
        <v>1</v>
      </c>
    </row>
    <row r="41" spans="1:6" x14ac:dyDescent="0.35">
      <c r="A41" s="57" t="s">
        <v>157</v>
      </c>
      <c r="B41" s="70">
        <f>RANK(B7,$B$7:$F$7,0)</f>
        <v>1</v>
      </c>
      <c r="C41" s="70">
        <f>RANK(C7,$B$7:$F$7,0)</f>
        <v>2</v>
      </c>
      <c r="D41" s="70">
        <f>RANK(D7,$B$7:$F$7,0)</f>
        <v>5</v>
      </c>
      <c r="E41" s="70">
        <f>RANK(E7,$B$7:$F$7,0)</f>
        <v>4</v>
      </c>
      <c r="F41" s="70">
        <f>RANK(F7,$B$7:$F$7,0)</f>
        <v>3</v>
      </c>
    </row>
    <row r="42" spans="1:6" x14ac:dyDescent="0.35">
      <c r="A42" s="57" t="s">
        <v>47</v>
      </c>
      <c r="B42" s="70">
        <f>RANK(B8,$B$8:$F$8,0)</f>
        <v>2</v>
      </c>
      <c r="C42" s="70">
        <f>RANK(C8,$B$8:$F$8,0)</f>
        <v>1</v>
      </c>
      <c r="D42" s="70">
        <f>RANK(D8,$B$8:$F$8,0)</f>
        <v>3</v>
      </c>
      <c r="E42" s="70">
        <f>RANK(E8,$B$8:$F$8,0)</f>
        <v>4</v>
      </c>
      <c r="F42" s="70">
        <f>RANK(F8,$B$8:$F$8,0)</f>
        <v>5</v>
      </c>
    </row>
    <row r="43" spans="1:6" x14ac:dyDescent="0.35">
      <c r="A43" s="57" t="s">
        <v>60</v>
      </c>
      <c r="B43" s="70">
        <f>RANK(B9,$B$9:$F$9,0)</f>
        <v>2</v>
      </c>
      <c r="C43" s="70">
        <f>RANK(C9,$B$9:$F$9,0)</f>
        <v>1</v>
      </c>
      <c r="D43" s="70">
        <f>RANK(D9,$B$9:$F$9,0)</f>
        <v>3</v>
      </c>
      <c r="E43" s="70">
        <f>RANK(E9,$B$9:$F$9,0)</f>
        <v>5</v>
      </c>
      <c r="F43" s="70">
        <f>RANK(F9,$B$9:$F$9,0)</f>
        <v>4</v>
      </c>
    </row>
    <row r="44" spans="1:6" x14ac:dyDescent="0.35">
      <c r="A44" s="57" t="s">
        <v>46</v>
      </c>
      <c r="B44" s="70">
        <f>RANK(B10,$B$10:$F$10,0)</f>
        <v>3</v>
      </c>
      <c r="C44" s="70">
        <f>RANK(C10,$B$10:$F$10,0)</f>
        <v>4</v>
      </c>
      <c r="D44" s="70">
        <f>RANK(D10,$B$10:$F$10,0)</f>
        <v>5</v>
      </c>
      <c r="E44" s="70">
        <f>RANK(E10,$B$10:$F$10,0)</f>
        <v>1</v>
      </c>
      <c r="F44" s="70">
        <f>RANK(F10,$B$10:$F$10,0)</f>
        <v>2</v>
      </c>
    </row>
    <row r="45" spans="1:6" x14ac:dyDescent="0.35">
      <c r="A45" s="57" t="s">
        <v>57</v>
      </c>
      <c r="B45" s="70">
        <f>RANK(B11,$B$11:$F$11,0)</f>
        <v>4</v>
      </c>
      <c r="C45" s="70">
        <f>RANK(C11,$B$11:$F$11,0)</f>
        <v>3</v>
      </c>
      <c r="D45" s="70">
        <f>RANK(D11,$B$11:$F$11,0)</f>
        <v>5</v>
      </c>
      <c r="E45" s="70">
        <f>RANK(E11,$B$11:$F$11,0)</f>
        <v>1</v>
      </c>
      <c r="F45" s="70">
        <f>RANK(F11,$B$11:$F$11,0)</f>
        <v>2</v>
      </c>
    </row>
    <row r="46" spans="1:6" x14ac:dyDescent="0.35">
      <c r="A46" s="57" t="s">
        <v>158</v>
      </c>
      <c r="B46" s="70">
        <f>RANK(B12,$B$12:$F$12,0)</f>
        <v>4</v>
      </c>
      <c r="C46" s="70">
        <f>RANK(C12,$B$12:$F$12,0)</f>
        <v>2</v>
      </c>
      <c r="D46" s="70">
        <f>RANK(D12,$B$12:$F$12,0)</f>
        <v>5</v>
      </c>
      <c r="E46" s="70">
        <f>RANK(E12,$B$12:$F$12,0)</f>
        <v>1</v>
      </c>
      <c r="F46" s="70">
        <f>RANK(F12,$B$12:$F$12,0)</f>
        <v>3</v>
      </c>
    </row>
    <row r="47" spans="1:6" x14ac:dyDescent="0.35">
      <c r="A47" s="57" t="s">
        <v>68</v>
      </c>
      <c r="B47" s="70">
        <f>RANK(B13,$B$13:$F$13,0)</f>
        <v>4</v>
      </c>
      <c r="C47" s="70">
        <f>RANK(C13,$B$13:$F$13,0)</f>
        <v>3</v>
      </c>
      <c r="D47" s="70">
        <f>RANK(D13,$B$13:$F$13,0)</f>
        <v>5</v>
      </c>
      <c r="E47" s="70">
        <f>RANK(E13,$B$13:$F$13,0)</f>
        <v>1</v>
      </c>
      <c r="F47" s="70">
        <f>RANK(F13,$B$13:$F$13,0)</f>
        <v>2</v>
      </c>
    </row>
    <row r="48" spans="1:6" x14ac:dyDescent="0.35">
      <c r="A48" s="57" t="s">
        <v>137</v>
      </c>
      <c r="B48" s="70">
        <f>RANK(B14,$B$14:$F$14,1)</f>
        <v>1</v>
      </c>
      <c r="C48" s="70">
        <f>RANK(C14,$B$14:$F$14,1)</f>
        <v>5</v>
      </c>
      <c r="D48" s="70">
        <f>RANK(D14,$B$14:$F$14,1)</f>
        <v>2</v>
      </c>
      <c r="E48" s="70">
        <f>RANK(E14,$B$14:$F$14,1)</f>
        <v>3</v>
      </c>
      <c r="F48" s="70">
        <f>RANK(F14,$B$14:$F$14,1)</f>
        <v>4</v>
      </c>
    </row>
    <row r="49" spans="1:6" x14ac:dyDescent="0.35">
      <c r="A49" s="57" t="s">
        <v>49</v>
      </c>
      <c r="B49" s="70">
        <f>RANK(B15,$B$15:$F$15,1)</f>
        <v>1</v>
      </c>
      <c r="C49" s="70">
        <f>RANK(C15,$B$15:$F$15,1)</f>
        <v>2</v>
      </c>
      <c r="D49" s="70">
        <f>RANK(D15,$B$15:$F$15,1)</f>
        <v>3</v>
      </c>
      <c r="E49" s="70">
        <f>RANK(E15,$B$15:$F$15,1)</f>
        <v>5</v>
      </c>
      <c r="F49" s="70">
        <f>RANK(F15,$B$15:$F$15,1)</f>
        <v>4</v>
      </c>
    </row>
    <row r="50" spans="1:6" x14ac:dyDescent="0.35">
      <c r="A50" s="57" t="s">
        <v>141</v>
      </c>
      <c r="B50" s="70">
        <f>RANK(B16,$B$16:$F$16,0)</f>
        <v>2</v>
      </c>
      <c r="C50" s="70">
        <f>RANK(C16,$B$16:$F$16,0)</f>
        <v>1</v>
      </c>
      <c r="D50" s="70">
        <f>RANK(D16,$B$16:$F$16,0)</f>
        <v>5</v>
      </c>
      <c r="E50" s="70">
        <f>RANK(E16,$B$16:$F$16,0)</f>
        <v>4</v>
      </c>
      <c r="F50" s="70">
        <f>RANK(F16,$B$16:$F$16,0)</f>
        <v>3</v>
      </c>
    </row>
    <row r="51" spans="1:6" x14ac:dyDescent="0.35">
      <c r="A51" s="57" t="s">
        <v>159</v>
      </c>
      <c r="B51" s="70">
        <f>RANK(B17,$B$17:$F$17,0)</f>
        <v>5</v>
      </c>
      <c r="C51" s="70">
        <f>RANK(C17,$B$17:$F$17,0)</f>
        <v>4</v>
      </c>
      <c r="D51" s="70">
        <f>RANK(D17,$B$17:$F$17,0)</f>
        <v>1</v>
      </c>
      <c r="E51" s="70">
        <f>RANK(E17,$B$17:$F$17,0)</f>
        <v>3</v>
      </c>
      <c r="F51" s="70">
        <f>RANK(F17,$B$17:$F$17,0)</f>
        <v>2</v>
      </c>
    </row>
    <row r="52" spans="1:6" x14ac:dyDescent="0.35">
      <c r="A52" s="57" t="s">
        <v>146</v>
      </c>
      <c r="B52" s="70">
        <f>RANK(B18,$B$18:$F$18,0)</f>
        <v>3</v>
      </c>
      <c r="C52" s="70">
        <f>RANK(C18,$B$18:$F$18,0)</f>
        <v>1</v>
      </c>
      <c r="D52" s="70">
        <f>RANK(D18,$B$18:$F$18,0)</f>
        <v>2</v>
      </c>
      <c r="E52" s="70">
        <f>RANK(E18,$B$18:$F$18,0)</f>
        <v>5</v>
      </c>
      <c r="F52" s="70">
        <f>RANK(F18,$B$18:$F$18,0)</f>
        <v>4</v>
      </c>
    </row>
    <row r="53" spans="1:6" x14ac:dyDescent="0.35">
      <c r="A53" s="57" t="s">
        <v>148</v>
      </c>
      <c r="B53" s="70">
        <f>RANK(B19,$B$19:$F$19,0)</f>
        <v>4</v>
      </c>
      <c r="C53" s="70">
        <f>RANK(C19,$B$19:$F$19,0)</f>
        <v>1</v>
      </c>
      <c r="D53" s="70">
        <f>RANK(D19,$B$19:$F$19,0)</f>
        <v>3</v>
      </c>
      <c r="E53" s="70">
        <f>RANK(E19,$B$19:$F$19,0)</f>
        <v>2</v>
      </c>
      <c r="F53" s="70">
        <f>RANK(F19,$B$19:$F$19,0)</f>
        <v>5</v>
      </c>
    </row>
  </sheetData>
  <sheetProtection algorithmName="SHA-512" hashValue="JScJzVPiBy4EY9Qmpn5CC7BmK0DUrj8VzQErbsRKa/3NsfUAUls5oYGrT26ocoX1p0aT7eZjNwsjkzw+87+vIQ==" saltValue="B3rOJrgLjgaucu1Yit3EfA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zoomScaleNormal="100" workbookViewId="0"/>
  </sheetViews>
  <sheetFormatPr defaultColWidth="8.6328125" defaultRowHeight="14.5" x14ac:dyDescent="0.35"/>
  <cols>
    <col min="1" max="1" width="26" customWidth="1"/>
    <col min="2" max="6" width="11" customWidth="1"/>
  </cols>
  <sheetData>
    <row r="1" spans="1:6" ht="18" x14ac:dyDescent="0.4">
      <c r="A1" s="71" t="s">
        <v>162</v>
      </c>
    </row>
    <row r="2" spans="1:6" x14ac:dyDescent="0.35">
      <c r="A2" s="20" t="s">
        <v>163</v>
      </c>
    </row>
    <row r="4" spans="1:6" x14ac:dyDescent="0.35">
      <c r="A4" s="38" t="s">
        <v>47</v>
      </c>
    </row>
    <row r="5" spans="1:6" x14ac:dyDescent="0.35">
      <c r="A5" s="72" t="s">
        <v>41</v>
      </c>
      <c r="B5" s="24" t="s">
        <v>71</v>
      </c>
      <c r="C5" s="24" t="s">
        <v>72</v>
      </c>
      <c r="D5" s="24" t="s">
        <v>73</v>
      </c>
      <c r="E5" s="24" t="s">
        <v>40</v>
      </c>
      <c r="F5" s="24" t="s">
        <v>74</v>
      </c>
    </row>
    <row r="6" spans="1:6" x14ac:dyDescent="0.35">
      <c r="A6" s="57" t="s">
        <v>51</v>
      </c>
      <c r="B6" s="67">
        <f>Ratios!E9</f>
        <v>0.24514738969606834</v>
      </c>
      <c r="C6" s="67">
        <f>Ratios!E38</f>
        <v>0.34006101080056061</v>
      </c>
      <c r="D6" s="67">
        <f>Ratios!E67</f>
        <v>0.20681421618146753</v>
      </c>
      <c r="E6" s="67">
        <f>Ratios!E96</f>
        <v>0.15570175438596492</v>
      </c>
      <c r="F6" s="67">
        <f>Ratios!E125</f>
        <v>0.17672413793103448</v>
      </c>
    </row>
    <row r="7" spans="1:6" x14ac:dyDescent="0.35">
      <c r="A7" s="57" t="s">
        <v>52</v>
      </c>
      <c r="B7" s="67">
        <f>Ratios!F9</f>
        <v>0.23352591614394189</v>
      </c>
      <c r="C7" s="67">
        <f>Ratios!F38</f>
        <v>0.36244165879383522</v>
      </c>
      <c r="D7" s="67">
        <f>Ratios!F67</f>
        <v>0.18751084128360798</v>
      </c>
      <c r="E7" s="67">
        <f>Ratios!F96</f>
        <v>0.1736703269738053</v>
      </c>
      <c r="F7" s="67">
        <f>Ratios!F125</f>
        <v>0.18537484637443671</v>
      </c>
    </row>
    <row r="8" spans="1:6" x14ac:dyDescent="0.35">
      <c r="A8" s="57" t="s">
        <v>53</v>
      </c>
      <c r="B8" s="67">
        <f>Ratios!G9</f>
        <v>0.23683275171255008</v>
      </c>
      <c r="C8" s="67">
        <f>Ratios!G38</f>
        <v>0.37078254725313547</v>
      </c>
      <c r="D8" s="67">
        <f>Ratios!G67</f>
        <v>0.19348597226701064</v>
      </c>
      <c r="E8" s="67">
        <f>Ratios!G96</f>
        <v>0.18886039716142883</v>
      </c>
      <c r="F8" s="67">
        <f>Ratios!G125</f>
        <v>0.20988293794675231</v>
      </c>
    </row>
    <row r="9" spans="1:6" x14ac:dyDescent="0.35">
      <c r="A9" s="57" t="s">
        <v>54</v>
      </c>
      <c r="B9" s="67">
        <f>Ratios!H9</f>
        <v>0.23966214453430734</v>
      </c>
      <c r="C9" s="67">
        <f>Ratios!H38</f>
        <v>0.34294969663980457</v>
      </c>
      <c r="D9" s="67">
        <f>Ratios!H67</f>
        <v>0.1843508716071002</v>
      </c>
      <c r="E9" s="67">
        <f>Ratios!H96</f>
        <v>0.17700496015159115</v>
      </c>
      <c r="F9" s="67">
        <f>Ratios!H125</f>
        <v>0.19748868987166468</v>
      </c>
    </row>
    <row r="10" spans="1:6" x14ac:dyDescent="0.35">
      <c r="A10" s="57" t="s">
        <v>42</v>
      </c>
      <c r="B10" s="67">
        <f>Ratios!I9</f>
        <v>0.23327852578023206</v>
      </c>
      <c r="C10" s="67">
        <f>Ratios!I38</f>
        <v>0.34622407059897553</v>
      </c>
      <c r="D10" s="67">
        <f>Ratios!I67</f>
        <v>0.18570454028651559</v>
      </c>
      <c r="E10" s="67">
        <f>Ratios!I96</f>
        <v>0.18347953216374269</v>
      </c>
      <c r="F10" s="67">
        <f>Ratios!I125</f>
        <v>0.17103813092351774</v>
      </c>
    </row>
    <row r="13" spans="1:6" x14ac:dyDescent="0.35">
      <c r="A13" s="38" t="s">
        <v>46</v>
      </c>
    </row>
    <row r="14" spans="1:6" x14ac:dyDescent="0.35">
      <c r="A14" s="72" t="s">
        <v>41</v>
      </c>
      <c r="B14" s="24" t="s">
        <v>71</v>
      </c>
      <c r="C14" s="24" t="s">
        <v>72</v>
      </c>
      <c r="D14" s="24" t="s">
        <v>73</v>
      </c>
      <c r="E14" s="24" t="s">
        <v>40</v>
      </c>
      <c r="F14" s="24" t="s">
        <v>74</v>
      </c>
    </row>
    <row r="15" spans="1:6" x14ac:dyDescent="0.35">
      <c r="A15" s="57" t="s">
        <v>51</v>
      </c>
      <c r="B15" s="67">
        <f>Ratios!E11</f>
        <v>0.18384245619475889</v>
      </c>
      <c r="C15" s="67">
        <f>Ratios!E40</f>
        <v>0.25248774449927525</v>
      </c>
      <c r="D15" s="67">
        <f>Ratios!E69</f>
        <v>0.21712576343013834</v>
      </c>
      <c r="E15" s="67">
        <f>Ratios!E98</f>
        <v>0.49656075990828691</v>
      </c>
      <c r="F15" s="67">
        <f>Ratios!E127</f>
        <v>0.38099574984820889</v>
      </c>
    </row>
    <row r="16" spans="1:6" x14ac:dyDescent="0.35">
      <c r="A16" s="57" t="s">
        <v>52</v>
      </c>
      <c r="B16" s="67">
        <f>Ratios!F11</f>
        <v>0.20415639309616063</v>
      </c>
      <c r="C16" s="67">
        <f>Ratios!F40</f>
        <v>0.29598054859053263</v>
      </c>
      <c r="D16" s="67">
        <f>Ratios!F69</f>
        <v>0.19602420051858255</v>
      </c>
      <c r="E16" s="67">
        <f>Ratios!F98</f>
        <v>0.76034143138542354</v>
      </c>
      <c r="F16" s="67">
        <f>Ratios!F127</f>
        <v>0.36994543164964322</v>
      </c>
    </row>
    <row r="17" spans="1:6" x14ac:dyDescent="0.35">
      <c r="A17" s="57" t="s">
        <v>53</v>
      </c>
      <c r="B17" s="67">
        <f>Ratios!G11</f>
        <v>0.20255708122377417</v>
      </c>
      <c r="C17" s="67">
        <f>Ratios!G40</f>
        <v>0.2888864139438404</v>
      </c>
      <c r="D17" s="67">
        <f>Ratios!G69</f>
        <v>0.19226073570784011</v>
      </c>
      <c r="E17" s="67">
        <f>Ratios!G98</f>
        <v>0.57096989966555189</v>
      </c>
      <c r="F17" s="67">
        <f>Ratios!G127</f>
        <v>0.39365744987550777</v>
      </c>
    </row>
    <row r="18" spans="1:6" x14ac:dyDescent="0.35">
      <c r="A18" s="57" t="s">
        <v>54</v>
      </c>
      <c r="B18" s="67">
        <f>Ratios!H11</f>
        <v>0.21210494931425164</v>
      </c>
      <c r="C18" s="67">
        <f>Ratios!H40</f>
        <v>0.48502459577824364</v>
      </c>
      <c r="D18" s="67">
        <f>Ratios!H69</f>
        <v>0.16839252879125133</v>
      </c>
      <c r="E18" s="67">
        <f>Ratios!H98</f>
        <v>0.52500903941183563</v>
      </c>
      <c r="F18" s="67">
        <f>Ratios!H127</f>
        <v>0.42474702190342001</v>
      </c>
    </row>
    <row r="19" spans="1:6" x14ac:dyDescent="0.35">
      <c r="A19" s="57" t="s">
        <v>42</v>
      </c>
      <c r="B19" s="67">
        <f>Ratios!I11</f>
        <v>0.30688499200130426</v>
      </c>
      <c r="C19" s="67">
        <f>Ratios!I40</f>
        <v>0.2949128998084708</v>
      </c>
      <c r="D19" s="67">
        <f>Ratios!I69</f>
        <v>0.16823439398712814</v>
      </c>
      <c r="E19" s="67">
        <f>Ratios!I98</f>
        <v>0.53625026421475375</v>
      </c>
      <c r="F19" s="67">
        <f>Ratios!I127</f>
        <v>0.4430054978619426</v>
      </c>
    </row>
    <row r="22" spans="1:6" x14ac:dyDescent="0.35">
      <c r="A22" s="38" t="s">
        <v>57</v>
      </c>
    </row>
    <row r="23" spans="1:6" x14ac:dyDescent="0.35">
      <c r="A23" s="72" t="s">
        <v>41</v>
      </c>
      <c r="B23" s="24" t="s">
        <v>71</v>
      </c>
      <c r="C23" s="24" t="s">
        <v>72</v>
      </c>
      <c r="D23" s="24" t="s">
        <v>73</v>
      </c>
      <c r="E23" s="24" t="s">
        <v>40</v>
      </c>
      <c r="F23" s="24" t="s">
        <v>74</v>
      </c>
    </row>
    <row r="24" spans="1:6" x14ac:dyDescent="0.35">
      <c r="A24" s="57" t="s">
        <v>51</v>
      </c>
      <c r="B24" s="67">
        <f>Ratios!E12</f>
        <v>0.2451471701200679</v>
      </c>
      <c r="C24" s="67">
        <f>Ratios!E41</f>
        <v>0.33732829503251649</v>
      </c>
      <c r="D24" s="67">
        <f>Ratios!E70</f>
        <v>0.26249644583451803</v>
      </c>
      <c r="E24" s="67">
        <f>Ratios!E99</f>
        <v>0.41556012717411633</v>
      </c>
      <c r="F24" s="67">
        <f>Ratios!E128</f>
        <v>0.43283188176299814</v>
      </c>
    </row>
    <row r="25" spans="1:6" x14ac:dyDescent="0.35">
      <c r="A25" s="57" t="s">
        <v>52</v>
      </c>
      <c r="B25" s="67">
        <f>Ratios!F12</f>
        <v>0.26485087624351794</v>
      </c>
      <c r="C25" s="67">
        <f>Ratios!F41</f>
        <v>0.3933416562630046</v>
      </c>
      <c r="D25" s="67">
        <f>Ratios!F70</f>
        <v>0.23487908379774017</v>
      </c>
      <c r="E25" s="67">
        <f>Ratios!F99</f>
        <v>0.55350043215211753</v>
      </c>
      <c r="F25" s="67">
        <f>Ratios!F128</f>
        <v>0.43696866650473648</v>
      </c>
    </row>
    <row r="26" spans="1:6" x14ac:dyDescent="0.35">
      <c r="A26" s="57" t="s">
        <v>53</v>
      </c>
      <c r="B26" s="67">
        <f>Ratios!G12</f>
        <v>0.27363876229311584</v>
      </c>
      <c r="C26" s="67">
        <f>Ratios!G41</f>
        <v>0.37429559648162142</v>
      </c>
      <c r="D26" s="67">
        <f>Ratios!G70</f>
        <v>0.23229488258957806</v>
      </c>
      <c r="E26" s="67">
        <f>Ratios!G99</f>
        <v>0.49086703358060141</v>
      </c>
      <c r="F26" s="67">
        <f>Ratios!G128</f>
        <v>0.45853769818638074</v>
      </c>
    </row>
    <row r="27" spans="1:6" x14ac:dyDescent="0.35">
      <c r="A27" s="57" t="s">
        <v>54</v>
      </c>
      <c r="B27" s="67">
        <f>Ratios!H12</f>
        <v>0.28529570514303337</v>
      </c>
      <c r="C27" s="67">
        <f>Ratios!H41</f>
        <v>0.57864599483204138</v>
      </c>
      <c r="D27" s="67">
        <f>Ratios!H70</f>
        <v>0.21078282059092293</v>
      </c>
      <c r="E27" s="67">
        <f>Ratios!H99</f>
        <v>0.52821087087604446</v>
      </c>
      <c r="F27" s="67">
        <f>Ratios!H128</f>
        <v>0.48801889976375296</v>
      </c>
    </row>
    <row r="28" spans="1:6" x14ac:dyDescent="0.35">
      <c r="A28" s="57" t="s">
        <v>42</v>
      </c>
      <c r="B28" s="67">
        <f>Ratios!I12</f>
        <v>0.36791847294775198</v>
      </c>
      <c r="C28" s="67">
        <f>Ratios!I41</f>
        <v>0.38724426907954085</v>
      </c>
      <c r="D28" s="67">
        <f>Ratios!I70</f>
        <v>0.20976447497546613</v>
      </c>
      <c r="E28" s="67">
        <f>Ratios!I99</f>
        <v>0.56282570932252463</v>
      </c>
      <c r="F28" s="67">
        <f>Ratios!I128</f>
        <v>0.50129087779690185</v>
      </c>
    </row>
    <row r="31" spans="1:6" x14ac:dyDescent="0.35">
      <c r="A31" s="38" t="s">
        <v>120</v>
      </c>
    </row>
    <row r="32" spans="1:6" x14ac:dyDescent="0.35">
      <c r="A32" s="72" t="s">
        <v>41</v>
      </c>
      <c r="B32" s="24" t="s">
        <v>71</v>
      </c>
      <c r="C32" s="24" t="s">
        <v>72</v>
      </c>
      <c r="D32" s="24" t="s">
        <v>73</v>
      </c>
      <c r="E32" s="24" t="s">
        <v>40</v>
      </c>
      <c r="F32" s="24" t="s">
        <v>74</v>
      </c>
    </row>
    <row r="33" spans="1:6" x14ac:dyDescent="0.35">
      <c r="A33" s="57" t="s">
        <v>51</v>
      </c>
      <c r="B33" s="67">
        <f>Ratios!E6</f>
        <v>0.11520796121459553</v>
      </c>
      <c r="C33" s="67">
        <f>Ratios!E35</f>
        <v>0.23119556611243075</v>
      </c>
      <c r="D33" s="67">
        <f>Ratios!E64</f>
        <v>0.13877849822212918</v>
      </c>
      <c r="E33" s="67">
        <f>Ratios!E93</f>
        <v>7.6126674786845205E-2</v>
      </c>
      <c r="F33" s="67">
        <f>Ratios!E122</f>
        <v>0.18190854870775341</v>
      </c>
    </row>
    <row r="34" spans="1:6" x14ac:dyDescent="0.35">
      <c r="A34" s="57" t="s">
        <v>52</v>
      </c>
      <c r="B34" s="67">
        <f>Ratios!F6</f>
        <v>0.15509285741524614</v>
      </c>
      <c r="C34" s="67">
        <f>Ratios!F35</f>
        <v>0.16941215269189547</v>
      </c>
      <c r="D34" s="67">
        <f>Ratios!F64</f>
        <v>5.8866746257691283E-2</v>
      </c>
      <c r="E34" s="67">
        <f>Ratios!F93</f>
        <v>0.15315506508205989</v>
      </c>
      <c r="F34" s="67">
        <f>Ratios!F122</f>
        <v>2.6492851135407891E-2</v>
      </c>
    </row>
    <row r="35" spans="1:6" x14ac:dyDescent="0.35">
      <c r="A35" s="57" t="s">
        <v>53</v>
      </c>
      <c r="B35" s="67">
        <f>Ratios!G6</f>
        <v>2.1723341036645749E-2</v>
      </c>
      <c r="C35" s="67">
        <f>Ratios!G35</f>
        <v>-4.2118473187721217E-2</v>
      </c>
      <c r="D35" s="67">
        <f>Ratios!G64</f>
        <v>7.5802254986990558E-2</v>
      </c>
      <c r="E35" s="67">
        <f>Ratios!G93</f>
        <v>2.8709895098460114E-2</v>
      </c>
      <c r="F35" s="67">
        <f>Ratios!G122</f>
        <v>-1.1368291683736209E-2</v>
      </c>
    </row>
    <row r="36" spans="1:6" x14ac:dyDescent="0.35">
      <c r="A36" s="57" t="s">
        <v>54</v>
      </c>
      <c r="B36" s="67">
        <f>Ratios!H6</f>
        <v>-9.1766834690448773E-3</v>
      </c>
      <c r="C36" s="67">
        <f>Ratios!H35</f>
        <v>0.10879997644703532</v>
      </c>
      <c r="D36" s="67">
        <f>Ratios!H64</f>
        <v>1.2818445662689415E-2</v>
      </c>
      <c r="E36" s="67">
        <f>Ratios!H93</f>
        <v>7.0010137754189294E-2</v>
      </c>
      <c r="F36" s="67">
        <f>Ratios!H122</f>
        <v>0.12203460064228744</v>
      </c>
    </row>
    <row r="37" spans="1:6" x14ac:dyDescent="0.35">
      <c r="A37" s="57" t="s">
        <v>42</v>
      </c>
      <c r="B37" s="67">
        <f>Ratios!I6</f>
        <v>5.1200104356900589E-2</v>
      </c>
      <c r="C37" s="67">
        <f>Ratios!I35</f>
        <v>4.7063977802265011E-2</v>
      </c>
      <c r="D37" s="67">
        <f>Ratios!I64</f>
        <v>5.0147257820584157E-2</v>
      </c>
      <c r="E37" s="67">
        <f>Ratios!I93</f>
        <v>6.7380036783146524E-2</v>
      </c>
      <c r="F37" s="67">
        <f>Ratios!I122</f>
        <v>0.25667066752839074</v>
      </c>
    </row>
    <row r="40" spans="1:6" x14ac:dyDescent="0.35">
      <c r="A40" s="38" t="s">
        <v>137</v>
      </c>
    </row>
    <row r="41" spans="1:6" x14ac:dyDescent="0.35">
      <c r="A41" s="72" t="s">
        <v>41</v>
      </c>
      <c r="B41" s="24" t="s">
        <v>71</v>
      </c>
      <c r="C41" s="24" t="s">
        <v>72</v>
      </c>
      <c r="D41" s="24" t="s">
        <v>73</v>
      </c>
      <c r="E41" s="24" t="s">
        <v>40</v>
      </c>
      <c r="F41" s="24" t="s">
        <v>74</v>
      </c>
    </row>
    <row r="42" spans="1:6" x14ac:dyDescent="0.35">
      <c r="A42" s="57" t="s">
        <v>51</v>
      </c>
      <c r="B42" s="64">
        <f>Ratios!E19</f>
        <v>-64</v>
      </c>
      <c r="C42" s="64">
        <f>Ratios!E48</f>
        <v>104</v>
      </c>
      <c r="D42" s="64">
        <f>Ratios!E77</f>
        <v>13</v>
      </c>
      <c r="E42" s="64">
        <f>Ratios!E106</f>
        <v>11</v>
      </c>
      <c r="F42" s="64">
        <f>Ratios!E135</f>
        <v>30</v>
      </c>
    </row>
    <row r="43" spans="1:6" x14ac:dyDescent="0.35">
      <c r="A43" s="57" t="s">
        <v>52</v>
      </c>
      <c r="B43" s="64">
        <f>Ratios!F19</f>
        <v>-49</v>
      </c>
      <c r="C43" s="64">
        <f>Ratios!F48</f>
        <v>104</v>
      </c>
      <c r="D43" s="64">
        <f>Ratios!F77</f>
        <v>14</v>
      </c>
      <c r="E43" s="64">
        <f>Ratios!F106</f>
        <v>-3</v>
      </c>
      <c r="F43" s="64">
        <f>Ratios!F135</f>
        <v>20</v>
      </c>
    </row>
    <row r="44" spans="1:6" x14ac:dyDescent="0.35">
      <c r="A44" s="57" t="s">
        <v>53</v>
      </c>
      <c r="B44" s="64">
        <f>Ratios!G19</f>
        <v>-70</v>
      </c>
      <c r="C44" s="64">
        <f>Ratios!G48</f>
        <v>148</v>
      </c>
      <c r="D44" s="64">
        <f>Ratios!G77</f>
        <v>-11</v>
      </c>
      <c r="E44" s="64">
        <f>Ratios!G106</f>
        <v>-9</v>
      </c>
      <c r="F44" s="64">
        <f>Ratios!G135</f>
        <v>19</v>
      </c>
    </row>
    <row r="45" spans="1:6" x14ac:dyDescent="0.35">
      <c r="A45" s="57" t="s">
        <v>54</v>
      </c>
      <c r="B45" s="64">
        <f>Ratios!H19</f>
        <v>-72</v>
      </c>
      <c r="C45" s="64">
        <f>Ratios!H48</f>
        <v>146</v>
      </c>
      <c r="D45" s="64">
        <f>Ratios!H77</f>
        <v>-14</v>
      </c>
      <c r="E45" s="64">
        <f>Ratios!H106</f>
        <v>-8</v>
      </c>
      <c r="F45" s="64">
        <f>Ratios!H135</f>
        <v>33</v>
      </c>
    </row>
    <row r="46" spans="1:6" x14ac:dyDescent="0.35">
      <c r="A46" s="57" t="s">
        <v>42</v>
      </c>
      <c r="B46" s="64">
        <f>Ratios!I19</f>
        <v>-89</v>
      </c>
      <c r="C46" s="64">
        <f>Ratios!I48</f>
        <v>164</v>
      </c>
      <c r="D46" s="64">
        <f>Ratios!I77</f>
        <v>-26</v>
      </c>
      <c r="E46" s="64">
        <f>Ratios!I106</f>
        <v>-9</v>
      </c>
      <c r="F46" s="64">
        <f>Ratios!I135</f>
        <v>12</v>
      </c>
    </row>
  </sheetData>
  <sheetProtection algorithmName="SHA-512" hashValue="6HOw14KRoYKhsAoWN6rRWsiMLyEd3fW0k++XWWa0ZrgMgRLiAVt2U892tFTQcoieTTOGyvCEqDoZBeeRJVDU3A==" saltValue="KWQzr0JjkuQ39WlsHI3B1w==" spinCount="100000" sheet="1" objects="1" scenarios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8"/>
  <sheetViews>
    <sheetView topLeftCell="A62" zoomScaleNormal="100" workbookViewId="0"/>
  </sheetViews>
  <sheetFormatPr defaultColWidth="8.6328125" defaultRowHeight="14.5" x14ac:dyDescent="0.35"/>
  <cols>
    <col min="1" max="1" width="18" customWidth="1"/>
    <col min="10" max="10" width="20" customWidth="1"/>
  </cols>
  <sheetData>
    <row r="1" spans="1:11" x14ac:dyDescent="0.35">
      <c r="A1" s="38" t="s">
        <v>164</v>
      </c>
      <c r="B1" s="38" t="s">
        <v>39</v>
      </c>
      <c r="C1" s="38" t="s">
        <v>79</v>
      </c>
      <c r="D1" s="38" t="s">
        <v>51</v>
      </c>
      <c r="E1" s="38" t="s">
        <v>52</v>
      </c>
      <c r="F1" s="38" t="s">
        <v>53</v>
      </c>
      <c r="G1" s="38" t="s">
        <v>54</v>
      </c>
      <c r="H1" s="38" t="s">
        <v>42</v>
      </c>
      <c r="J1" s="38" t="s">
        <v>165</v>
      </c>
      <c r="K1" s="57">
        <f>MATCH(Dashboard!$F$5,$C$1:$H$1,0)</f>
        <v>3</v>
      </c>
    </row>
    <row r="2" spans="1:11" x14ac:dyDescent="0.35">
      <c r="A2" s="57" t="s">
        <v>166</v>
      </c>
      <c r="B2" s="57" t="s">
        <v>71</v>
      </c>
      <c r="C2" s="73">
        <f>Financials!D6</f>
        <v>47028</v>
      </c>
      <c r="D2" s="73">
        <f>Financials!E6</f>
        <v>52446</v>
      </c>
      <c r="E2" s="73">
        <f>Financials!F6</f>
        <v>60580</v>
      </c>
      <c r="F2" s="73">
        <f>Financials!G6</f>
        <v>61896</v>
      </c>
      <c r="G2" s="73">
        <f>Financials!H6</f>
        <v>61328</v>
      </c>
      <c r="H2" s="73">
        <f>Financials!I6</f>
        <v>64468</v>
      </c>
    </row>
    <row r="3" spans="1:11" x14ac:dyDescent="0.35">
      <c r="A3" s="57" t="s">
        <v>167</v>
      </c>
      <c r="B3" s="57" t="s">
        <v>71</v>
      </c>
      <c r="C3" s="73">
        <f>Financials!D13</f>
        <v>7999</v>
      </c>
      <c r="D3" s="73">
        <f>Financials!E13</f>
        <v>8892</v>
      </c>
      <c r="E3" s="73">
        <f>Financials!F13</f>
        <v>10143</v>
      </c>
      <c r="F3" s="73">
        <f>Financials!G13</f>
        <v>10282</v>
      </c>
      <c r="G3" s="73">
        <f>Financials!H13</f>
        <v>10671</v>
      </c>
      <c r="H3" s="73">
        <f>Financials!I13</f>
        <v>15059</v>
      </c>
    </row>
    <row r="4" spans="1:11" x14ac:dyDescent="0.35">
      <c r="A4" s="57" t="s">
        <v>168</v>
      </c>
      <c r="B4" s="57" t="s">
        <v>71</v>
      </c>
      <c r="C4" s="67">
        <f>Ratios!D9</f>
        <v>0.24721442544866887</v>
      </c>
      <c r="D4" s="67">
        <f>Ratios!E9</f>
        <v>0.24514738969606834</v>
      </c>
      <c r="E4" s="67">
        <f>Ratios!F9</f>
        <v>0.23352591614394189</v>
      </c>
      <c r="F4" s="67">
        <f>Ratios!G9</f>
        <v>0.23683275171255008</v>
      </c>
      <c r="G4" s="67">
        <f>Ratios!H9</f>
        <v>0.23966214453430734</v>
      </c>
      <c r="H4" s="67">
        <f>Ratios!I9</f>
        <v>0.23327852578023206</v>
      </c>
    </row>
    <row r="5" spans="1:11" x14ac:dyDescent="0.35">
      <c r="A5" s="57" t="s">
        <v>169</v>
      </c>
      <c r="B5" s="57" t="s">
        <v>71</v>
      </c>
      <c r="C5" s="67">
        <f>Ratios!D10</f>
        <v>0.17009015905418048</v>
      </c>
      <c r="D5" s="67">
        <f>Ratios!E10</f>
        <v>0.16954581855622927</v>
      </c>
      <c r="E5" s="67">
        <f>Ratios!F10</f>
        <v>0.16743149554308354</v>
      </c>
      <c r="F5" s="67">
        <f>Ratios!G10</f>
        <v>0.16611735814915343</v>
      </c>
      <c r="G5" s="67">
        <f>Ratios!H10</f>
        <v>0.17399882598486824</v>
      </c>
      <c r="H5" s="67">
        <f>Ratios!I10</f>
        <v>0.2335887572128808</v>
      </c>
    </row>
    <row r="6" spans="1:11" x14ac:dyDescent="0.35">
      <c r="A6" s="57" t="s">
        <v>170</v>
      </c>
      <c r="B6" s="57" t="s">
        <v>71</v>
      </c>
      <c r="C6" s="74" t="str">
        <f>Ratios!D11</f>
        <v>n/a</v>
      </c>
      <c r="D6" s="67">
        <f>Ratios!E11</f>
        <v>0.18384245619475889</v>
      </c>
      <c r="E6" s="67">
        <f>Ratios!F11</f>
        <v>0.20415639309616063</v>
      </c>
      <c r="F6" s="67">
        <f>Ratios!G11</f>
        <v>0.20255708122377417</v>
      </c>
      <c r="G6" s="67">
        <f>Ratios!H11</f>
        <v>0.21210494931425164</v>
      </c>
      <c r="H6" s="67">
        <f>Ratios!I11</f>
        <v>0.30688499200130426</v>
      </c>
    </row>
    <row r="7" spans="1:11" x14ac:dyDescent="0.35">
      <c r="A7" s="57" t="s">
        <v>171</v>
      </c>
      <c r="B7" s="57" t="s">
        <v>71</v>
      </c>
      <c r="C7" s="74" t="str">
        <f>Ratios!D12</f>
        <v>n/a</v>
      </c>
      <c r="D7" s="67">
        <f>Ratios!E12</f>
        <v>0.2451471701200679</v>
      </c>
      <c r="E7" s="67">
        <f>Ratios!F12</f>
        <v>0.26485087624351794</v>
      </c>
      <c r="F7" s="67">
        <f>Ratios!G12</f>
        <v>0.27363876229311584</v>
      </c>
      <c r="G7" s="67">
        <f>Ratios!H12</f>
        <v>0.28529570514303337</v>
      </c>
      <c r="H7" s="67">
        <f>Ratios!I12</f>
        <v>0.36791847294775198</v>
      </c>
    </row>
    <row r="8" spans="1:11" x14ac:dyDescent="0.35">
      <c r="A8" s="57" t="s">
        <v>172</v>
      </c>
      <c r="B8" s="57" t="s">
        <v>71</v>
      </c>
      <c r="C8" s="74" t="str">
        <f>Ratios!D13</f>
        <v>n/a</v>
      </c>
      <c r="D8" s="67">
        <f>Ratios!E13</f>
        <v>0.12771641555233185</v>
      </c>
      <c r="E8" s="67">
        <f>Ratios!F13</f>
        <v>0.14128413530849751</v>
      </c>
      <c r="F8" s="67">
        <f>Ratios!G13</f>
        <v>0.13567686684348731</v>
      </c>
      <c r="G8" s="67">
        <f>Ratios!H13</f>
        <v>0.13477568960290998</v>
      </c>
      <c r="H8" s="67">
        <f>Ratios!I13</f>
        <v>0.18870809080143608</v>
      </c>
    </row>
    <row r="9" spans="1:11" x14ac:dyDescent="0.35">
      <c r="A9" s="57" t="s">
        <v>173</v>
      </c>
      <c r="B9" s="57" t="s">
        <v>71</v>
      </c>
      <c r="C9" s="74" t="str">
        <f>Ratios!D15</f>
        <v>n/a</v>
      </c>
      <c r="D9" s="69">
        <f>Ratios!E15</f>
        <v>0.75328555218821369</v>
      </c>
      <c r="E9" s="69">
        <f>Ratios!F15</f>
        <v>0.84383248713287784</v>
      </c>
      <c r="F9" s="69">
        <f>Ratios!G15</f>
        <v>0.81675309766042514</v>
      </c>
      <c r="G9" s="69">
        <f>Ratios!H15</f>
        <v>0.77457815499646354</v>
      </c>
      <c r="H9" s="69">
        <f>Ratios!I15</f>
        <v>0.80786461237711538</v>
      </c>
    </row>
    <row r="10" spans="1:11" x14ac:dyDescent="0.35">
      <c r="A10" s="57" t="s">
        <v>174</v>
      </c>
      <c r="B10" s="57" t="s">
        <v>71</v>
      </c>
      <c r="C10" s="64">
        <f>Ratios!D19</f>
        <v>-83</v>
      </c>
      <c r="D10" s="64">
        <f>Ratios!E19</f>
        <v>-64</v>
      </c>
      <c r="E10" s="64">
        <f>Ratios!F19</f>
        <v>-49</v>
      </c>
      <c r="F10" s="64">
        <f>Ratios!G19</f>
        <v>-70</v>
      </c>
      <c r="G10" s="64">
        <f>Ratios!H19</f>
        <v>-72</v>
      </c>
      <c r="H10" s="64">
        <f>Ratios!I19</f>
        <v>-89</v>
      </c>
    </row>
    <row r="11" spans="1:11" x14ac:dyDescent="0.35">
      <c r="A11" s="57" t="s">
        <v>175</v>
      </c>
      <c r="B11" s="57" t="s">
        <v>71</v>
      </c>
      <c r="C11" s="69">
        <f>Ratios!D21</f>
        <v>0</v>
      </c>
      <c r="D11" s="69">
        <f>Ratios!E21</f>
        <v>2.1259248690405821E-2</v>
      </c>
      <c r="E11" s="69">
        <f>Ratios!F21</f>
        <v>2.4232665394402036E-2</v>
      </c>
      <c r="F11" s="69">
        <f>Ratios!G21</f>
        <v>2.8974188761763442E-2</v>
      </c>
      <c r="G11" s="69">
        <f>Ratios!H21</f>
        <v>3.3358973320918181E-2</v>
      </c>
      <c r="H11" s="69">
        <f>Ratios!I21</f>
        <v>3.032479123494532E-2</v>
      </c>
    </row>
    <row r="12" spans="1:11" x14ac:dyDescent="0.35">
      <c r="A12" s="57" t="s">
        <v>176</v>
      </c>
      <c r="B12" s="57" t="s">
        <v>71</v>
      </c>
      <c r="C12" s="67">
        <f>Ratios!D25</f>
        <v>0.10838224036744068</v>
      </c>
      <c r="D12" s="67">
        <f>Ratios!E25</f>
        <v>0.15244251229836403</v>
      </c>
      <c r="E12" s="67">
        <f>Ratios!F25</f>
        <v>0.14823374050841862</v>
      </c>
      <c r="F12" s="67">
        <f>Ratios!G25</f>
        <v>0.22637973374693032</v>
      </c>
      <c r="G12" s="67">
        <f>Ratios!H25</f>
        <v>0.17323245499608661</v>
      </c>
      <c r="H12" s="67">
        <f>Ratios!I25</f>
        <v>0.14995036297077619</v>
      </c>
    </row>
    <row r="13" spans="1:11" x14ac:dyDescent="0.35">
      <c r="A13" s="57" t="s">
        <v>177</v>
      </c>
      <c r="B13" s="57" t="s">
        <v>71</v>
      </c>
      <c r="C13" s="74" t="str">
        <f>Ratios!D6</f>
        <v>n/a</v>
      </c>
      <c r="D13" s="67">
        <f>Ratios!E6</f>
        <v>0.11520796121459553</v>
      </c>
      <c r="E13" s="67">
        <f>Ratios!F6</f>
        <v>0.15509285741524614</v>
      </c>
      <c r="F13" s="67">
        <f>Ratios!G6</f>
        <v>2.1723341036645749E-2</v>
      </c>
      <c r="G13" s="67">
        <f>Ratios!H6</f>
        <v>-9.1766834690448773E-3</v>
      </c>
      <c r="H13" s="67">
        <f>Ratios!I6</f>
        <v>5.1200104356900589E-2</v>
      </c>
    </row>
    <row r="14" spans="1:11" x14ac:dyDescent="0.35">
      <c r="A14" s="57" t="s">
        <v>178</v>
      </c>
      <c r="B14" s="57" t="s">
        <v>71</v>
      </c>
      <c r="C14" s="74" t="str">
        <f>Ratios!D7</f>
        <v>n/a</v>
      </c>
      <c r="D14" s="67">
        <f>Ratios!E7</f>
        <v>0.1116389548693586</v>
      </c>
      <c r="E14" s="67">
        <f>Ratios!F7</f>
        <v>0.14068825910931171</v>
      </c>
      <c r="F14" s="67">
        <f>Ratios!G7</f>
        <v>1.370403233757278E-2</v>
      </c>
      <c r="G14" s="67">
        <f>Ratios!H7</f>
        <v>3.783310639953319E-2</v>
      </c>
      <c r="H14" s="67">
        <f>Ratios!I7</f>
        <v>0.41120794677162409</v>
      </c>
    </row>
    <row r="15" spans="1:11" x14ac:dyDescent="0.35">
      <c r="A15" s="57" t="s">
        <v>179</v>
      </c>
      <c r="B15" s="57" t="s">
        <v>71</v>
      </c>
      <c r="C15" s="67">
        <f>Ratios!D28</f>
        <v>0.17009015905418048</v>
      </c>
      <c r="D15" s="67">
        <f>Ratios!E28</f>
        <v>0.16954581855622927</v>
      </c>
      <c r="E15" s="67">
        <f>Ratios!F28</f>
        <v>0.16743149554308354</v>
      </c>
      <c r="F15" s="67">
        <f>Ratios!G28</f>
        <v>0.16611735814915343</v>
      </c>
      <c r="G15" s="67">
        <f>Ratios!H28</f>
        <v>0.17399882598486824</v>
      </c>
      <c r="H15" s="67">
        <f>Ratios!I28</f>
        <v>0.2335887572128808</v>
      </c>
    </row>
    <row r="16" spans="1:11" x14ac:dyDescent="0.35">
      <c r="A16" s="57" t="s">
        <v>180</v>
      </c>
      <c r="B16" s="57" t="s">
        <v>71</v>
      </c>
      <c r="C16" s="74" t="str">
        <f>Ratios!D29</f>
        <v>n/a</v>
      </c>
      <c r="D16" s="69">
        <f>Ratios!E29</f>
        <v>0.75328555218821369</v>
      </c>
      <c r="E16" s="69">
        <f>Ratios!F29</f>
        <v>0.84383248713287784</v>
      </c>
      <c r="F16" s="69">
        <f>Ratios!G29</f>
        <v>0.81675309766042514</v>
      </c>
      <c r="G16" s="69">
        <f>Ratios!H29</f>
        <v>0.77457815499646354</v>
      </c>
      <c r="H16" s="69">
        <f>Ratios!I29</f>
        <v>0.80786461237711538</v>
      </c>
    </row>
    <row r="17" spans="1:8" x14ac:dyDescent="0.35">
      <c r="A17" s="57" t="s">
        <v>181</v>
      </c>
      <c r="B17" s="57" t="s">
        <v>71</v>
      </c>
      <c r="C17" s="74" t="str">
        <f>Ratios!D30</f>
        <v>n/a</v>
      </c>
      <c r="D17" s="69">
        <f>Ratios!E30</f>
        <v>1.4394583139504833</v>
      </c>
      <c r="E17" s="69">
        <f>Ratios!F30</f>
        <v>1.4450057867458361</v>
      </c>
      <c r="F17" s="69">
        <f>Ratios!G30</f>
        <v>1.4929374913811784</v>
      </c>
      <c r="G17" s="69">
        <f>Ratios!H30</f>
        <v>1.57376267143709</v>
      </c>
      <c r="H17" s="69">
        <f>Ratios!I30</f>
        <v>1.6262418357261492</v>
      </c>
    </row>
    <row r="18" spans="1:8" x14ac:dyDescent="0.35">
      <c r="A18" s="57" t="s">
        <v>182</v>
      </c>
      <c r="B18" s="57" t="s">
        <v>71</v>
      </c>
      <c r="C18" s="74" t="str">
        <f>Ratios!D31</f>
        <v>n/a</v>
      </c>
      <c r="D18" s="67">
        <f>Ratios!E31</f>
        <v>0.18384245619475889</v>
      </c>
      <c r="E18" s="67">
        <f>Ratios!F31</f>
        <v>0.20415639309616065</v>
      </c>
      <c r="F18" s="67">
        <f>Ratios!G31</f>
        <v>0.20255708122377417</v>
      </c>
      <c r="G18" s="67">
        <f>Ratios!H31</f>
        <v>0.21210494931425161</v>
      </c>
      <c r="H18" s="67">
        <f>Ratios!I31</f>
        <v>0.3068849920013042</v>
      </c>
    </row>
    <row r="19" spans="1:8" x14ac:dyDescent="0.35">
      <c r="A19" s="57" t="s">
        <v>183</v>
      </c>
      <c r="B19" s="57" t="s">
        <v>72</v>
      </c>
      <c r="C19" s="73">
        <f>Financials!D44</f>
        <v>49257</v>
      </c>
      <c r="D19" s="73">
        <f>Financials!E44</f>
        <v>60645</v>
      </c>
      <c r="E19" s="73">
        <f>Financials!F44</f>
        <v>70919</v>
      </c>
      <c r="F19" s="73">
        <f>Financials!G44</f>
        <v>67932</v>
      </c>
      <c r="G19" s="73">
        <f>Financials!H44</f>
        <v>75323</v>
      </c>
      <c r="H19" s="73">
        <f>Financials!I44</f>
        <v>78868</v>
      </c>
    </row>
    <row r="20" spans="1:8" x14ac:dyDescent="0.35">
      <c r="A20" s="57" t="s">
        <v>184</v>
      </c>
      <c r="B20" s="57" t="s">
        <v>72</v>
      </c>
      <c r="C20" s="73">
        <f>Financials!D51</f>
        <v>13383</v>
      </c>
      <c r="D20" s="73">
        <f>Financials!E51</f>
        <v>15503</v>
      </c>
      <c r="E20" s="73">
        <f>Financials!F51</f>
        <v>19477</v>
      </c>
      <c r="F20" s="73">
        <f>Financials!G51</f>
        <v>20751</v>
      </c>
      <c r="G20" s="73">
        <f>Financials!H51</f>
        <v>35052</v>
      </c>
      <c r="H20" s="73">
        <f>Financials!I51</f>
        <v>21018</v>
      </c>
    </row>
    <row r="21" spans="1:8" x14ac:dyDescent="0.35">
      <c r="A21" s="57" t="s">
        <v>185</v>
      </c>
      <c r="B21" s="57" t="s">
        <v>72</v>
      </c>
      <c r="C21" s="67">
        <f>Ratios!D38</f>
        <v>0.3464482205574842</v>
      </c>
      <c r="D21" s="67">
        <f>Ratios!E38</f>
        <v>0.34006101080056061</v>
      </c>
      <c r="E21" s="67">
        <f>Ratios!F38</f>
        <v>0.36244165879383522</v>
      </c>
      <c r="F21" s="67">
        <f>Ratios!G38</f>
        <v>0.37078254725313547</v>
      </c>
      <c r="G21" s="67">
        <f>Ratios!H38</f>
        <v>0.34294969663980457</v>
      </c>
      <c r="H21" s="67">
        <f>Ratios!I38</f>
        <v>0.34622407059897553</v>
      </c>
    </row>
    <row r="22" spans="1:8" x14ac:dyDescent="0.35">
      <c r="A22" s="57" t="s">
        <v>186</v>
      </c>
      <c r="B22" s="57" t="s">
        <v>72</v>
      </c>
      <c r="C22" s="67">
        <f>Ratios!D39</f>
        <v>0.27169742371642608</v>
      </c>
      <c r="D22" s="67">
        <f>Ratios!E39</f>
        <v>0.25563525434908074</v>
      </c>
      <c r="E22" s="67">
        <f>Ratios!F39</f>
        <v>0.27463726222873985</v>
      </c>
      <c r="F22" s="67">
        <f>Ratios!G39</f>
        <v>0.30546723193782016</v>
      </c>
      <c r="G22" s="67">
        <f>Ratios!H39</f>
        <v>0.46535586739774037</v>
      </c>
      <c r="H22" s="67">
        <f>Ratios!I39</f>
        <v>0.26649591722878735</v>
      </c>
    </row>
    <row r="23" spans="1:8" x14ac:dyDescent="0.35">
      <c r="A23" s="57" t="s">
        <v>187</v>
      </c>
      <c r="B23" s="57" t="s">
        <v>72</v>
      </c>
      <c r="C23" s="74" t="str">
        <f>Ratios!D40</f>
        <v>n/a</v>
      </c>
      <c r="D23" s="67">
        <f>Ratios!E40</f>
        <v>0.25248774449927525</v>
      </c>
      <c r="E23" s="67">
        <f>Ratios!F40</f>
        <v>0.29598054859053263</v>
      </c>
      <c r="F23" s="67">
        <f>Ratios!G40</f>
        <v>0.2888864139438404</v>
      </c>
      <c r="G23" s="67">
        <f>Ratios!H40</f>
        <v>0.48502459577824364</v>
      </c>
      <c r="H23" s="67">
        <f>Ratios!I40</f>
        <v>0.2949128998084708</v>
      </c>
    </row>
    <row r="24" spans="1:8" x14ac:dyDescent="0.35">
      <c r="A24" s="57" t="s">
        <v>188</v>
      </c>
      <c r="B24" s="57" t="s">
        <v>72</v>
      </c>
      <c r="C24" s="74" t="str">
        <f>Ratios!D41</f>
        <v>n/a</v>
      </c>
      <c r="D24" s="67">
        <f>Ratios!E41</f>
        <v>0.33732829503251649</v>
      </c>
      <c r="E24" s="67">
        <f>Ratios!F41</f>
        <v>0.3933416562630046</v>
      </c>
      <c r="F24" s="67">
        <f>Ratios!G41</f>
        <v>0.37429559648162142</v>
      </c>
      <c r="G24" s="67">
        <f>Ratios!H41</f>
        <v>0.57864599483204138</v>
      </c>
      <c r="H24" s="67">
        <f>Ratios!I41</f>
        <v>0.38724426907954085</v>
      </c>
    </row>
    <row r="25" spans="1:8" x14ac:dyDescent="0.35">
      <c r="A25" s="57" t="s">
        <v>189</v>
      </c>
      <c r="B25" s="57" t="s">
        <v>72</v>
      </c>
      <c r="C25" s="74" t="str">
        <f>Ratios!D42</f>
        <v>n/a</v>
      </c>
      <c r="D25" s="67">
        <f>Ratios!E42</f>
        <v>0.2053962386639904</v>
      </c>
      <c r="E25" s="67">
        <f>Ratios!F42</f>
        <v>0.2389420157397241</v>
      </c>
      <c r="F25" s="67">
        <f>Ratios!G42</f>
        <v>0.23370348680061268</v>
      </c>
      <c r="G25" s="67">
        <f>Ratios!H42</f>
        <v>0.3899931574291961</v>
      </c>
      <c r="H25" s="67">
        <f>Ratios!I42</f>
        <v>0.23142479630037438</v>
      </c>
    </row>
    <row r="26" spans="1:8" x14ac:dyDescent="0.35">
      <c r="A26" s="57" t="s">
        <v>190</v>
      </c>
      <c r="B26" s="57" t="s">
        <v>72</v>
      </c>
      <c r="C26" s="74" t="str">
        <f>Ratios!D44</f>
        <v>n/a</v>
      </c>
      <c r="D26" s="69">
        <f>Ratios!E44</f>
        <v>0.80347383692044749</v>
      </c>
      <c r="E26" s="69">
        <f>Ratios!F44</f>
        <v>0.8700276641292547</v>
      </c>
      <c r="F26" s="69">
        <f>Ratios!G44</f>
        <v>0.76506892512838998</v>
      </c>
      <c r="G26" s="69">
        <f>Ratios!H44</f>
        <v>0.83805359457489836</v>
      </c>
      <c r="H26" s="69">
        <f>Ratios!I44</f>
        <v>0.86839903105042937</v>
      </c>
    </row>
    <row r="27" spans="1:8" x14ac:dyDescent="0.35">
      <c r="A27" s="57" t="s">
        <v>191</v>
      </c>
      <c r="B27" s="57" t="s">
        <v>72</v>
      </c>
      <c r="C27" s="64">
        <f>Ratios!D48</f>
        <v>130</v>
      </c>
      <c r="D27" s="64">
        <f>Ratios!E48</f>
        <v>104</v>
      </c>
      <c r="E27" s="64">
        <f>Ratios!F48</f>
        <v>104</v>
      </c>
      <c r="F27" s="64">
        <f>Ratios!G48</f>
        <v>148</v>
      </c>
      <c r="G27" s="64">
        <f>Ratios!H48</f>
        <v>146</v>
      </c>
      <c r="H27" s="64">
        <f>Ratios!I48</f>
        <v>164</v>
      </c>
    </row>
    <row r="28" spans="1:8" x14ac:dyDescent="0.35">
      <c r="A28" s="57" t="s">
        <v>192</v>
      </c>
      <c r="B28" s="57" t="s">
        <v>72</v>
      </c>
      <c r="C28" s="69">
        <f>Ratios!D50</f>
        <v>4.490695477819941E-3</v>
      </c>
      <c r="D28" s="69">
        <f>Ratios!E50</f>
        <v>3.9868705467936911E-3</v>
      </c>
      <c r="E28" s="69">
        <f>Ratios!F50</f>
        <v>4.4248427445593231E-3</v>
      </c>
      <c r="F28" s="69">
        <f>Ratios!G50</f>
        <v>4.066731984914169E-3</v>
      </c>
      <c r="G28" s="69">
        <f>Ratios!H50</f>
        <v>4.0696844209624451E-3</v>
      </c>
      <c r="H28" s="69">
        <f>Ratios!I50</f>
        <v>3.3086460617595542E-2</v>
      </c>
    </row>
    <row r="29" spans="1:8" x14ac:dyDescent="0.35">
      <c r="A29" s="57" t="s">
        <v>193</v>
      </c>
      <c r="B29" s="57" t="s">
        <v>72</v>
      </c>
      <c r="C29" s="67">
        <f>Ratios!D54</f>
        <v>0.21708589642081327</v>
      </c>
      <c r="D29" s="67">
        <f>Ratios!E54</f>
        <v>0.22700964630225082</v>
      </c>
      <c r="E29" s="67">
        <f>Ratios!F54</f>
        <v>0.22820400738871108</v>
      </c>
      <c r="F29" s="67">
        <f>Ratios!G54</f>
        <v>0.20202555496673144</v>
      </c>
      <c r="G29" s="67">
        <f>Ratios!H54</f>
        <v>0.20609906668613837</v>
      </c>
      <c r="H29" s="67">
        <f>Ratios!I54</f>
        <v>0.20708018461226352</v>
      </c>
    </row>
    <row r="30" spans="1:8" x14ac:dyDescent="0.35">
      <c r="A30" s="57" t="s">
        <v>194</v>
      </c>
      <c r="B30" s="57" t="s">
        <v>72</v>
      </c>
      <c r="C30" s="74" t="str">
        <f>Ratios!D35</f>
        <v>n/a</v>
      </c>
      <c r="D30" s="67">
        <f>Ratios!E35</f>
        <v>0.23119556611243075</v>
      </c>
      <c r="E30" s="67">
        <f>Ratios!F35</f>
        <v>0.16941215269189547</v>
      </c>
      <c r="F30" s="67">
        <f>Ratios!G35</f>
        <v>-4.2118473187721217E-2</v>
      </c>
      <c r="G30" s="67">
        <f>Ratios!H35</f>
        <v>0.10879997644703532</v>
      </c>
      <c r="H30" s="67">
        <f>Ratios!I35</f>
        <v>4.7063977802265011E-2</v>
      </c>
    </row>
    <row r="31" spans="1:8" x14ac:dyDescent="0.35">
      <c r="A31" s="57" t="s">
        <v>195</v>
      </c>
      <c r="B31" s="57" t="s">
        <v>72</v>
      </c>
      <c r="C31" s="74" t="str">
        <f>Ratios!D36</f>
        <v>n/a</v>
      </c>
      <c r="D31" s="67">
        <f>Ratios!E36</f>
        <v>0.15840992303668844</v>
      </c>
      <c r="E31" s="67">
        <f>Ratios!F36</f>
        <v>0.25633748306779336</v>
      </c>
      <c r="F31" s="67">
        <f>Ratios!G36</f>
        <v>6.5410484160804971E-2</v>
      </c>
      <c r="G31" s="67">
        <f>Ratios!H36</f>
        <v>0.68917160618765361</v>
      </c>
      <c r="H31" s="67">
        <f>Ratios!I36</f>
        <v>-0.40037658336186233</v>
      </c>
    </row>
    <row r="32" spans="1:8" x14ac:dyDescent="0.35">
      <c r="A32" s="57" t="s">
        <v>196</v>
      </c>
      <c r="B32" s="57" t="s">
        <v>72</v>
      </c>
      <c r="C32" s="67">
        <f>Ratios!D57</f>
        <v>0.27169742371642608</v>
      </c>
      <c r="D32" s="67">
        <f>Ratios!E57</f>
        <v>0.25563525434908074</v>
      </c>
      <c r="E32" s="67">
        <f>Ratios!F57</f>
        <v>0.27463726222873985</v>
      </c>
      <c r="F32" s="67">
        <f>Ratios!G57</f>
        <v>0.30546723193782016</v>
      </c>
      <c r="G32" s="67">
        <f>Ratios!H57</f>
        <v>0.46535586739774037</v>
      </c>
      <c r="H32" s="67">
        <f>Ratios!I57</f>
        <v>0.26649591722878735</v>
      </c>
    </row>
    <row r="33" spans="1:8" x14ac:dyDescent="0.35">
      <c r="A33" s="57" t="s">
        <v>197</v>
      </c>
      <c r="B33" s="57" t="s">
        <v>72</v>
      </c>
      <c r="C33" s="74" t="str">
        <f>Ratios!D58</f>
        <v>n/a</v>
      </c>
      <c r="D33" s="69">
        <f>Ratios!E58</f>
        <v>0.80347383692044749</v>
      </c>
      <c r="E33" s="69">
        <f>Ratios!F58</f>
        <v>0.8700276641292547</v>
      </c>
      <c r="F33" s="69">
        <f>Ratios!G58</f>
        <v>0.76506892512838998</v>
      </c>
      <c r="G33" s="69">
        <f>Ratios!H58</f>
        <v>0.83805359457489836</v>
      </c>
      <c r="H33" s="69">
        <f>Ratios!I58</f>
        <v>0.86839903105042937</v>
      </c>
    </row>
    <row r="34" spans="1:8" x14ac:dyDescent="0.35">
      <c r="A34" s="57" t="s">
        <v>198</v>
      </c>
      <c r="B34" s="57" t="s">
        <v>72</v>
      </c>
      <c r="C34" s="74" t="str">
        <f>Ratios!D59</f>
        <v>n/a</v>
      </c>
      <c r="D34" s="69">
        <f>Ratios!E59</f>
        <v>1.2292715102359897</v>
      </c>
      <c r="E34" s="69">
        <f>Ratios!F59</f>
        <v>1.2387128637641516</v>
      </c>
      <c r="F34" s="69">
        <f>Ratios!G59</f>
        <v>1.2361236791914354</v>
      </c>
      <c r="G34" s="69">
        <f>Ratios!H59</f>
        <v>1.2436746300255297</v>
      </c>
      <c r="H34" s="69">
        <f>Ratios!I59</f>
        <v>1.2743357864975411</v>
      </c>
    </row>
    <row r="35" spans="1:8" x14ac:dyDescent="0.35">
      <c r="A35" s="57" t="s">
        <v>199</v>
      </c>
      <c r="B35" s="57" t="s">
        <v>72</v>
      </c>
      <c r="C35" s="74" t="str">
        <f>Ratios!D60</f>
        <v>n/a</v>
      </c>
      <c r="D35" s="67">
        <f>Ratios!E60</f>
        <v>0.2524877444992753</v>
      </c>
      <c r="E35" s="67">
        <f>Ratios!F60</f>
        <v>0.29598054859053263</v>
      </c>
      <c r="F35" s="67">
        <f>Ratios!G60</f>
        <v>0.2888864139438404</v>
      </c>
      <c r="G35" s="67">
        <f>Ratios!H60</f>
        <v>0.48502459577824364</v>
      </c>
      <c r="H35" s="67">
        <f>Ratios!I60</f>
        <v>0.2949128998084708</v>
      </c>
    </row>
    <row r="36" spans="1:8" x14ac:dyDescent="0.35">
      <c r="A36" s="57" t="s">
        <v>200</v>
      </c>
      <c r="B36" s="57" t="s">
        <v>73</v>
      </c>
      <c r="C36" s="73">
        <f>Financials!D82</f>
        <v>9562</v>
      </c>
      <c r="D36" s="73">
        <f>Financials!E82</f>
        <v>10889</v>
      </c>
      <c r="E36" s="73">
        <f>Financials!F82</f>
        <v>11530</v>
      </c>
      <c r="F36" s="73">
        <f>Financials!G82</f>
        <v>12404</v>
      </c>
      <c r="G36" s="73">
        <f>Financials!H82</f>
        <v>12563</v>
      </c>
      <c r="H36" s="73">
        <f>Financials!I82</f>
        <v>13193</v>
      </c>
    </row>
    <row r="37" spans="1:8" x14ac:dyDescent="0.35">
      <c r="A37" s="57" t="s">
        <v>201</v>
      </c>
      <c r="B37" s="57" t="s">
        <v>73</v>
      </c>
      <c r="C37" s="73">
        <f>Financials!D89</f>
        <v>1695</v>
      </c>
      <c r="D37" s="73">
        <f>Financials!E89</f>
        <v>1742</v>
      </c>
      <c r="E37" s="73">
        <f>Financials!F89</f>
        <v>1701</v>
      </c>
      <c r="F37" s="73">
        <f>Financials!G89</f>
        <v>1811</v>
      </c>
      <c r="G37" s="73">
        <f>Financials!H89</f>
        <v>1740</v>
      </c>
      <c r="H37" s="73">
        <f>Financials!I89</f>
        <v>1869</v>
      </c>
    </row>
    <row r="38" spans="1:8" x14ac:dyDescent="0.35">
      <c r="A38" s="57" t="s">
        <v>202</v>
      </c>
      <c r="B38" s="57" t="s">
        <v>73</v>
      </c>
      <c r="C38" s="67">
        <f>Ratios!D67</f>
        <v>0.20937042459736457</v>
      </c>
      <c r="D38" s="67">
        <f>Ratios!E67</f>
        <v>0.20681421618146753</v>
      </c>
      <c r="E38" s="67">
        <f>Ratios!F67</f>
        <v>0.18751084128360798</v>
      </c>
      <c r="F38" s="67">
        <f>Ratios!G67</f>
        <v>0.19348597226701064</v>
      </c>
      <c r="G38" s="67">
        <f>Ratios!H67</f>
        <v>0.1843508716071002</v>
      </c>
      <c r="H38" s="67">
        <f>Ratios!I67</f>
        <v>0.18570454028651559</v>
      </c>
    </row>
    <row r="39" spans="1:8" x14ac:dyDescent="0.35">
      <c r="A39" s="57" t="s">
        <v>203</v>
      </c>
      <c r="B39" s="57" t="s">
        <v>73</v>
      </c>
      <c r="C39" s="67">
        <f>Ratios!D68</f>
        <v>0.17726417067559089</v>
      </c>
      <c r="D39" s="67">
        <f>Ratios!E68</f>
        <v>0.15997795940857745</v>
      </c>
      <c r="E39" s="67">
        <f>Ratios!F68</f>
        <v>0.14752818733738074</v>
      </c>
      <c r="F39" s="67">
        <f>Ratios!G68</f>
        <v>0.14600128990648178</v>
      </c>
      <c r="G39" s="67">
        <f>Ratios!H68</f>
        <v>0.13850195017113748</v>
      </c>
      <c r="H39" s="67">
        <f>Ratios!I68</f>
        <v>0.14166603501857045</v>
      </c>
    </row>
    <row r="40" spans="1:8" x14ac:dyDescent="0.35">
      <c r="A40" s="57" t="s">
        <v>204</v>
      </c>
      <c r="B40" s="57" t="s">
        <v>73</v>
      </c>
      <c r="C40" s="74" t="str">
        <f>Ratios!D69</f>
        <v>n/a</v>
      </c>
      <c r="D40" s="67">
        <f>Ratios!E69</f>
        <v>0.21712576343013834</v>
      </c>
      <c r="E40" s="67">
        <f>Ratios!F69</f>
        <v>0.19602420051858255</v>
      </c>
      <c r="F40" s="67">
        <f>Ratios!G69</f>
        <v>0.19226073570784011</v>
      </c>
      <c r="G40" s="67">
        <f>Ratios!H69</f>
        <v>0.16839252879125133</v>
      </c>
      <c r="H40" s="67">
        <f>Ratios!I69</f>
        <v>0.16823439398712814</v>
      </c>
    </row>
    <row r="41" spans="1:8" x14ac:dyDescent="0.35">
      <c r="A41" s="57" t="s">
        <v>205</v>
      </c>
      <c r="B41" s="57" t="s">
        <v>73</v>
      </c>
      <c r="C41" s="74" t="str">
        <f>Ratios!D70</f>
        <v>n/a</v>
      </c>
      <c r="D41" s="67">
        <f>Ratios!E70</f>
        <v>0.26249644583451803</v>
      </c>
      <c r="E41" s="67">
        <f>Ratios!F70</f>
        <v>0.23487908379774017</v>
      </c>
      <c r="F41" s="67">
        <f>Ratios!G70</f>
        <v>0.23229488258957806</v>
      </c>
      <c r="G41" s="67">
        <f>Ratios!H70</f>
        <v>0.21078282059092293</v>
      </c>
      <c r="H41" s="67">
        <f>Ratios!I70</f>
        <v>0.20976447497546613</v>
      </c>
    </row>
    <row r="42" spans="1:8" x14ac:dyDescent="0.35">
      <c r="A42" s="57" t="s">
        <v>206</v>
      </c>
      <c r="B42" s="57" t="s">
        <v>73</v>
      </c>
      <c r="C42" s="74" t="str">
        <f>Ratios!D71</f>
        <v>n/a</v>
      </c>
      <c r="D42" s="67">
        <f>Ratios!E71</f>
        <v>0.15070507829397006</v>
      </c>
      <c r="E42" s="67">
        <f>Ratios!F71</f>
        <v>0.13116397424528667</v>
      </c>
      <c r="F42" s="67">
        <f>Ratios!G71</f>
        <v>0.12590378197997776</v>
      </c>
      <c r="G42" s="67">
        <f>Ratios!H71</f>
        <v>0.11101894978625662</v>
      </c>
      <c r="H42" s="67">
        <f>Ratios!I71</f>
        <v>0.11088697715811333</v>
      </c>
    </row>
    <row r="43" spans="1:8" x14ac:dyDescent="0.35">
      <c r="A43" s="57" t="s">
        <v>207</v>
      </c>
      <c r="B43" s="57" t="s">
        <v>73</v>
      </c>
      <c r="C43" s="74" t="str">
        <f>Ratios!D73</f>
        <v>n/a</v>
      </c>
      <c r="D43" s="69">
        <f>Ratios!E73</f>
        <v>0.94203650834847308</v>
      </c>
      <c r="E43" s="69">
        <f>Ratios!F73</f>
        <v>0.88907737980491186</v>
      </c>
      <c r="F43" s="69">
        <f>Ratios!G73</f>
        <v>0.8623470522803115</v>
      </c>
      <c r="G43" s="69">
        <f>Ratios!H73</f>
        <v>0.80156957825559882</v>
      </c>
      <c r="H43" s="69">
        <f>Ratios!I73</f>
        <v>0.78273509344408188</v>
      </c>
    </row>
    <row r="44" spans="1:8" x14ac:dyDescent="0.35">
      <c r="A44" s="57" t="s">
        <v>208</v>
      </c>
      <c r="B44" s="57" t="s">
        <v>73</v>
      </c>
      <c r="C44" s="64">
        <f>Ratios!D77</f>
        <v>2</v>
      </c>
      <c r="D44" s="64">
        <f>Ratios!E77</f>
        <v>13</v>
      </c>
      <c r="E44" s="64">
        <f>Ratios!F77</f>
        <v>14</v>
      </c>
      <c r="F44" s="64">
        <f>Ratios!G77</f>
        <v>-11</v>
      </c>
      <c r="G44" s="64">
        <f>Ratios!H77</f>
        <v>-14</v>
      </c>
      <c r="H44" s="64">
        <f>Ratios!I77</f>
        <v>-26</v>
      </c>
    </row>
    <row r="45" spans="1:8" x14ac:dyDescent="0.35">
      <c r="A45" s="57" t="s">
        <v>209</v>
      </c>
      <c r="B45" s="57" t="s">
        <v>73</v>
      </c>
      <c r="C45" s="69">
        <f>Ratios!D79</f>
        <v>6.641440501043841E-2</v>
      </c>
      <c r="D45" s="69">
        <f>Ratios!E79</f>
        <v>0.12288236697685516</v>
      </c>
      <c r="E45" s="69">
        <f>Ratios!F79</f>
        <v>0.13083695531037556</v>
      </c>
      <c r="F45" s="69">
        <f>Ratios!G79</f>
        <v>0.13835394283397526</v>
      </c>
      <c r="G45" s="69">
        <f>Ratios!H79</f>
        <v>8.7962962962962965E-2</v>
      </c>
      <c r="H45" s="69">
        <f>Ratios!I79</f>
        <v>0.11270689202206849</v>
      </c>
    </row>
    <row r="46" spans="1:8" x14ac:dyDescent="0.35">
      <c r="A46" s="57" t="s">
        <v>210</v>
      </c>
      <c r="B46" s="57" t="s">
        <v>73</v>
      </c>
      <c r="C46" s="67">
        <f>Ratios!D83</f>
        <v>0.18908178205396362</v>
      </c>
      <c r="D46" s="67">
        <f>Ratios!E83</f>
        <v>0.13160069795206172</v>
      </c>
      <c r="E46" s="67">
        <f>Ratios!F83</f>
        <v>8.6990459670424972E-2</v>
      </c>
      <c r="F46" s="67">
        <f>Ratios!G83</f>
        <v>0.11713963237665269</v>
      </c>
      <c r="G46" s="67">
        <f>Ratios!H83</f>
        <v>0.11525909416540635</v>
      </c>
      <c r="H46" s="67">
        <f>Ratios!I83</f>
        <v>0.16523914196922609</v>
      </c>
    </row>
    <row r="47" spans="1:8" x14ac:dyDescent="0.35">
      <c r="A47" s="57" t="s">
        <v>211</v>
      </c>
      <c r="B47" s="57" t="s">
        <v>73</v>
      </c>
      <c r="C47" s="74" t="str">
        <f>Ratios!D64</f>
        <v>n/a</v>
      </c>
      <c r="D47" s="67">
        <f>Ratios!E64</f>
        <v>0.13877849822212918</v>
      </c>
      <c r="E47" s="67">
        <f>Ratios!F64</f>
        <v>5.8866746257691283E-2</v>
      </c>
      <c r="F47" s="67">
        <f>Ratios!G64</f>
        <v>7.5802254986990558E-2</v>
      </c>
      <c r="G47" s="67">
        <f>Ratios!H64</f>
        <v>1.2818445662689415E-2</v>
      </c>
      <c r="H47" s="67">
        <f>Ratios!I64</f>
        <v>5.0147257820584157E-2</v>
      </c>
    </row>
    <row r="48" spans="1:8" x14ac:dyDescent="0.35">
      <c r="A48" s="57" t="s">
        <v>212</v>
      </c>
      <c r="B48" s="57" t="s">
        <v>73</v>
      </c>
      <c r="C48" s="74" t="str">
        <f>Ratios!D65</f>
        <v>n/a</v>
      </c>
      <c r="D48" s="67">
        <f>Ratios!E65</f>
        <v>2.7728613569321547E-2</v>
      </c>
      <c r="E48" s="67">
        <f>Ratios!F65</f>
        <v>-2.3536165327210146E-2</v>
      </c>
      <c r="F48" s="67">
        <f>Ratios!G65</f>
        <v>6.4667842445620183E-2</v>
      </c>
      <c r="G48" s="67">
        <f>Ratios!H65</f>
        <v>-3.9204859193815556E-2</v>
      </c>
      <c r="H48" s="67">
        <f>Ratios!I65</f>
        <v>7.413793103448274E-2</v>
      </c>
    </row>
    <row r="49" spans="1:8" x14ac:dyDescent="0.35">
      <c r="A49" s="57" t="s">
        <v>213</v>
      </c>
      <c r="B49" s="57" t="s">
        <v>73</v>
      </c>
      <c r="C49" s="67">
        <f>Ratios!D86</f>
        <v>0.17726417067559089</v>
      </c>
      <c r="D49" s="67">
        <f>Ratios!E86</f>
        <v>0.15997795940857745</v>
      </c>
      <c r="E49" s="67">
        <f>Ratios!F86</f>
        <v>0.14752818733738074</v>
      </c>
      <c r="F49" s="67">
        <f>Ratios!G86</f>
        <v>0.14600128990648178</v>
      </c>
      <c r="G49" s="67">
        <f>Ratios!H86</f>
        <v>0.13850195017113748</v>
      </c>
      <c r="H49" s="67">
        <f>Ratios!I86</f>
        <v>0.14166603501857045</v>
      </c>
    </row>
    <row r="50" spans="1:8" x14ac:dyDescent="0.35">
      <c r="A50" s="57" t="s">
        <v>214</v>
      </c>
      <c r="B50" s="57" t="s">
        <v>73</v>
      </c>
      <c r="C50" s="74" t="str">
        <f>Ratios!D87</f>
        <v>n/a</v>
      </c>
      <c r="D50" s="69">
        <f>Ratios!E87</f>
        <v>0.94203650834847308</v>
      </c>
      <c r="E50" s="69">
        <f>Ratios!F87</f>
        <v>0.88907737980491186</v>
      </c>
      <c r="F50" s="69">
        <f>Ratios!G87</f>
        <v>0.8623470522803115</v>
      </c>
      <c r="G50" s="69">
        <f>Ratios!H87</f>
        <v>0.80156957825559882</v>
      </c>
      <c r="H50" s="69">
        <f>Ratios!I87</f>
        <v>0.78273509344408188</v>
      </c>
    </row>
    <row r="51" spans="1:8" x14ac:dyDescent="0.35">
      <c r="A51" s="57" t="s">
        <v>215</v>
      </c>
      <c r="B51" s="57" t="s">
        <v>73</v>
      </c>
      <c r="C51" s="74" t="str">
        <f>Ratios!D88</f>
        <v>n/a</v>
      </c>
      <c r="D51" s="69">
        <f>Ratios!E88</f>
        <v>1.4407328929328183</v>
      </c>
      <c r="E51" s="69">
        <f>Ratios!F88</f>
        <v>1.4944972630365889</v>
      </c>
      <c r="F51" s="69">
        <f>Ratios!G88</f>
        <v>1.5270449599235629</v>
      </c>
      <c r="G51" s="69">
        <f>Ratios!H88</f>
        <v>1.5167908642214265</v>
      </c>
      <c r="H51" s="69">
        <f>Ratios!I88</f>
        <v>1.5171699896484991</v>
      </c>
    </row>
    <row r="52" spans="1:8" x14ac:dyDescent="0.35">
      <c r="A52" s="57" t="s">
        <v>216</v>
      </c>
      <c r="B52" s="57" t="s">
        <v>73</v>
      </c>
      <c r="C52" s="74" t="str">
        <f>Ratios!D89</f>
        <v>n/a</v>
      </c>
      <c r="D52" s="67">
        <f>Ratios!E89</f>
        <v>0.21712576343013837</v>
      </c>
      <c r="E52" s="67">
        <f>Ratios!F89</f>
        <v>0.19602420051858252</v>
      </c>
      <c r="F52" s="67">
        <f>Ratios!G89</f>
        <v>0.19226073570784014</v>
      </c>
      <c r="G52" s="67">
        <f>Ratios!H89</f>
        <v>0.16839252879125136</v>
      </c>
      <c r="H52" s="67">
        <f>Ratios!I89</f>
        <v>0.16823439398712814</v>
      </c>
    </row>
    <row r="53" spans="1:8" x14ac:dyDescent="0.35">
      <c r="A53" s="57" t="s">
        <v>217</v>
      </c>
      <c r="B53" s="57" t="s">
        <v>40</v>
      </c>
      <c r="C53" s="73">
        <f>Financials!D120</f>
        <v>13136</v>
      </c>
      <c r="D53" s="73">
        <f>Financials!E120</f>
        <v>14136</v>
      </c>
      <c r="E53" s="73">
        <f>Financials!F120</f>
        <v>16301</v>
      </c>
      <c r="F53" s="73">
        <f>Financials!G120</f>
        <v>16769</v>
      </c>
      <c r="G53" s="73">
        <f>Financials!H120</f>
        <v>17943</v>
      </c>
      <c r="H53" s="73">
        <f>Financials!I120</f>
        <v>19152</v>
      </c>
    </row>
    <row r="54" spans="1:8" x14ac:dyDescent="0.35">
      <c r="A54" s="57" t="s">
        <v>218</v>
      </c>
      <c r="B54" s="57" t="s">
        <v>40</v>
      </c>
      <c r="C54" s="73">
        <f>Financials!D127</f>
        <v>1851</v>
      </c>
      <c r="D54" s="73">
        <f>Financials!E127</f>
        <v>1516</v>
      </c>
      <c r="E54" s="73">
        <f>Financials!F127</f>
        <v>2316</v>
      </c>
      <c r="F54" s="73">
        <f>Financials!G127</f>
        <v>2134</v>
      </c>
      <c r="G54" s="73">
        <f>Financials!H127</f>
        <v>2178</v>
      </c>
      <c r="H54" s="73">
        <f>Financials!I127</f>
        <v>2537</v>
      </c>
    </row>
    <row r="55" spans="1:8" x14ac:dyDescent="0.35">
      <c r="A55" s="57" t="s">
        <v>219</v>
      </c>
      <c r="B55" s="57" t="s">
        <v>40</v>
      </c>
      <c r="C55" s="67">
        <f>Ratios!D96</f>
        <v>0.19100182704019489</v>
      </c>
      <c r="D55" s="67">
        <f>Ratios!E96</f>
        <v>0.15570175438596492</v>
      </c>
      <c r="E55" s="67">
        <f>Ratios!F96</f>
        <v>0.1736703269738053</v>
      </c>
      <c r="F55" s="67">
        <f>Ratios!G96</f>
        <v>0.18886039716142883</v>
      </c>
      <c r="G55" s="67">
        <f>Ratios!H96</f>
        <v>0.17700496015159115</v>
      </c>
      <c r="H55" s="67">
        <f>Ratios!I96</f>
        <v>0.18347953216374269</v>
      </c>
    </row>
    <row r="56" spans="1:8" x14ac:dyDescent="0.35">
      <c r="A56" s="57" t="s">
        <v>220</v>
      </c>
      <c r="B56" s="57" t="s">
        <v>40</v>
      </c>
      <c r="C56" s="67">
        <f>Ratios!D97</f>
        <v>0.14091047503045068</v>
      </c>
      <c r="D56" s="67">
        <f>Ratios!E97</f>
        <v>0.10724391624221845</v>
      </c>
      <c r="E56" s="67">
        <f>Ratios!F97</f>
        <v>0.14207717317955953</v>
      </c>
      <c r="F56" s="67">
        <f>Ratios!G97</f>
        <v>0.12725863199952292</v>
      </c>
      <c r="G56" s="67">
        <f>Ratios!H97</f>
        <v>0.12138438388229393</v>
      </c>
      <c r="H56" s="67">
        <f>Ratios!I97</f>
        <v>0.13246658312447787</v>
      </c>
    </row>
    <row r="57" spans="1:8" x14ac:dyDescent="0.35">
      <c r="A57" s="57" t="s">
        <v>221</v>
      </c>
      <c r="B57" s="57" t="s">
        <v>40</v>
      </c>
      <c r="C57" s="74" t="str">
        <f>Ratios!D98</f>
        <v>n/a</v>
      </c>
      <c r="D57" s="67">
        <f>Ratios!E98</f>
        <v>0.49656075990828691</v>
      </c>
      <c r="E57" s="67">
        <f>Ratios!F98</f>
        <v>0.76034143138542354</v>
      </c>
      <c r="F57" s="67">
        <f>Ratios!G98</f>
        <v>0.57096989966555189</v>
      </c>
      <c r="G57" s="67">
        <f>Ratios!H98</f>
        <v>0.52500903941183563</v>
      </c>
      <c r="H57" s="67">
        <f>Ratios!I98</f>
        <v>0.53625026421475375</v>
      </c>
    </row>
    <row r="58" spans="1:8" x14ac:dyDescent="0.35">
      <c r="A58" s="57" t="s">
        <v>222</v>
      </c>
      <c r="B58" s="57" t="s">
        <v>40</v>
      </c>
      <c r="C58" s="74" t="str">
        <f>Ratios!D99</f>
        <v>n/a</v>
      </c>
      <c r="D58" s="67">
        <f>Ratios!E99</f>
        <v>0.41556012717411633</v>
      </c>
      <c r="E58" s="67">
        <f>Ratios!F99</f>
        <v>0.55350043215211753</v>
      </c>
      <c r="F58" s="67">
        <f>Ratios!G99</f>
        <v>0.49086703358060141</v>
      </c>
      <c r="G58" s="67">
        <f>Ratios!H99</f>
        <v>0.52821087087604446</v>
      </c>
      <c r="H58" s="67">
        <f>Ratios!I99</f>
        <v>0.56282570932252463</v>
      </c>
    </row>
    <row r="59" spans="1:8" x14ac:dyDescent="0.35">
      <c r="A59" s="57" t="s">
        <v>223</v>
      </c>
      <c r="B59" s="57" t="s">
        <v>40</v>
      </c>
      <c r="C59" s="74" t="str">
        <f>Ratios!D100</f>
        <v>n/a</v>
      </c>
      <c r="D59" s="67">
        <f>Ratios!E100</f>
        <v>0.19527275069234237</v>
      </c>
      <c r="E59" s="67">
        <f>Ratios!F100</f>
        <v>0.27447262384451293</v>
      </c>
      <c r="F59" s="67">
        <f>Ratios!G100</f>
        <v>0.23167951362501357</v>
      </c>
      <c r="G59" s="67">
        <f>Ratios!H100</f>
        <v>0.24324324324324326</v>
      </c>
      <c r="H59" s="67">
        <f>Ratios!I100</f>
        <v>0.27328055151613079</v>
      </c>
    </row>
    <row r="60" spans="1:8" x14ac:dyDescent="0.35">
      <c r="A60" s="57" t="s">
        <v>224</v>
      </c>
      <c r="B60" s="57" t="s">
        <v>40</v>
      </c>
      <c r="C60" s="74" t="str">
        <f>Ratios!D102</f>
        <v>n/a</v>
      </c>
      <c r="D60" s="69">
        <f>Ratios!E102</f>
        <v>1.820828234687963</v>
      </c>
      <c r="E60" s="69">
        <f>Ratios!F102</f>
        <v>1.9318558900213321</v>
      </c>
      <c r="F60" s="69">
        <f>Ratios!G102</f>
        <v>1.8205406579090218</v>
      </c>
      <c r="G60" s="69">
        <f>Ratios!H102</f>
        <v>2.0039088675452312</v>
      </c>
      <c r="H60" s="69">
        <f>Ratios!I102</f>
        <v>2.0630150266602034</v>
      </c>
    </row>
    <row r="61" spans="1:8" x14ac:dyDescent="0.35">
      <c r="A61" s="57" t="s">
        <v>225</v>
      </c>
      <c r="B61" s="57" t="s">
        <v>40</v>
      </c>
      <c r="C61" s="64">
        <f>Ratios!D106</f>
        <v>-4</v>
      </c>
      <c r="D61" s="64">
        <f>Ratios!E106</f>
        <v>11</v>
      </c>
      <c r="E61" s="64">
        <f>Ratios!F106</f>
        <v>-3</v>
      </c>
      <c r="F61" s="64">
        <f>Ratios!G106</f>
        <v>-9</v>
      </c>
      <c r="G61" s="64">
        <f>Ratios!H106</f>
        <v>-8</v>
      </c>
      <c r="H61" s="64">
        <f>Ratios!I106</f>
        <v>-9</v>
      </c>
    </row>
    <row r="62" spans="1:8" x14ac:dyDescent="0.35">
      <c r="A62" s="57" t="s">
        <v>226</v>
      </c>
      <c r="B62" s="57" t="s">
        <v>40</v>
      </c>
      <c r="C62" s="69">
        <f>Ratios!D108</f>
        <v>0.5938556933483653</v>
      </c>
      <c r="D62" s="69">
        <f>Ratios!E108</f>
        <v>0.96989835809225955</v>
      </c>
      <c r="E62" s="69">
        <f>Ratios!F108</f>
        <v>0.84804753820033951</v>
      </c>
      <c r="F62" s="69">
        <f>Ratios!G108</f>
        <v>0.5239786856127886</v>
      </c>
      <c r="G62" s="69">
        <f>Ratios!H108</f>
        <v>0.28627180899908172</v>
      </c>
      <c r="H62" s="69">
        <f>Ratios!I108</f>
        <v>0.27027027027027029</v>
      </c>
    </row>
    <row r="63" spans="1:8" x14ac:dyDescent="0.35">
      <c r="A63" s="57" t="s">
        <v>227</v>
      </c>
      <c r="B63" s="57" t="s">
        <v>40</v>
      </c>
      <c r="C63" s="67">
        <f>Ratios!D112</f>
        <v>0.12264007308160779</v>
      </c>
      <c r="D63" s="67">
        <f>Ratios!E112</f>
        <v>5.319750990379174E-2</v>
      </c>
      <c r="E63" s="67">
        <f>Ratios!F112</f>
        <v>0.11612784491748973</v>
      </c>
      <c r="F63" s="67">
        <f>Ratios!G112</f>
        <v>0.12433657343908402</v>
      </c>
      <c r="G63" s="67">
        <f>Ratios!H112</f>
        <v>0.11815192554199409</v>
      </c>
      <c r="H63" s="67">
        <f>Ratios!I112</f>
        <v>0.12573099415204678</v>
      </c>
    </row>
    <row r="64" spans="1:8" x14ac:dyDescent="0.35">
      <c r="A64" s="57" t="s">
        <v>228</v>
      </c>
      <c r="B64" s="57" t="s">
        <v>40</v>
      </c>
      <c r="C64" s="74" t="str">
        <f>Ratios!D93</f>
        <v>n/a</v>
      </c>
      <c r="D64" s="67">
        <f>Ratios!E93</f>
        <v>7.6126674786845205E-2</v>
      </c>
      <c r="E64" s="67">
        <f>Ratios!F93</f>
        <v>0.15315506508205989</v>
      </c>
      <c r="F64" s="67">
        <f>Ratios!G93</f>
        <v>2.8709895098460114E-2</v>
      </c>
      <c r="G64" s="67">
        <f>Ratios!H93</f>
        <v>7.0010137754189294E-2</v>
      </c>
      <c r="H64" s="67">
        <f>Ratios!I93</f>
        <v>6.7380036783146524E-2</v>
      </c>
    </row>
    <row r="65" spans="1:8" x14ac:dyDescent="0.35">
      <c r="A65" s="57" t="s">
        <v>229</v>
      </c>
      <c r="B65" s="57" t="s">
        <v>40</v>
      </c>
      <c r="C65" s="74" t="str">
        <f>Ratios!D94</f>
        <v>n/a</v>
      </c>
      <c r="D65" s="67">
        <f>Ratios!E94</f>
        <v>-0.18098325229605616</v>
      </c>
      <c r="E65" s="67">
        <f>Ratios!F94</f>
        <v>0.52770448548812654</v>
      </c>
      <c r="F65" s="67">
        <f>Ratios!G94</f>
        <v>-7.8583765112262505E-2</v>
      </c>
      <c r="G65" s="67">
        <f>Ratios!H94</f>
        <v>2.0618556701030855E-2</v>
      </c>
      <c r="H65" s="67">
        <f>Ratios!I94</f>
        <v>0.1648301193755739</v>
      </c>
    </row>
    <row r="66" spans="1:8" x14ac:dyDescent="0.35">
      <c r="A66" s="57" t="s">
        <v>230</v>
      </c>
      <c r="B66" s="57" t="s">
        <v>40</v>
      </c>
      <c r="C66" s="67">
        <f>Ratios!D115</f>
        <v>0.14091047503045068</v>
      </c>
      <c r="D66" s="67">
        <f>Ratios!E115</f>
        <v>0.10724391624221845</v>
      </c>
      <c r="E66" s="67">
        <f>Ratios!F115</f>
        <v>0.14207717317955953</v>
      </c>
      <c r="F66" s="67">
        <f>Ratios!G115</f>
        <v>0.12725863199952292</v>
      </c>
      <c r="G66" s="67">
        <f>Ratios!H115</f>
        <v>0.12138438388229393</v>
      </c>
      <c r="H66" s="67">
        <f>Ratios!I115</f>
        <v>0.13246658312447787</v>
      </c>
    </row>
    <row r="67" spans="1:8" x14ac:dyDescent="0.35">
      <c r="A67" s="57" t="s">
        <v>231</v>
      </c>
      <c r="B67" s="57" t="s">
        <v>40</v>
      </c>
      <c r="C67" s="74" t="str">
        <f>Ratios!D116</f>
        <v>n/a</v>
      </c>
      <c r="D67" s="69">
        <f>Ratios!E116</f>
        <v>1.820828234687963</v>
      </c>
      <c r="E67" s="69">
        <f>Ratios!F116</f>
        <v>1.9318558900213321</v>
      </c>
      <c r="F67" s="69">
        <f>Ratios!G116</f>
        <v>1.8205406579090218</v>
      </c>
      <c r="G67" s="69">
        <f>Ratios!H116</f>
        <v>2.0039088675452312</v>
      </c>
      <c r="H67" s="69">
        <f>Ratios!I116</f>
        <v>2.0630150266602034</v>
      </c>
    </row>
    <row r="68" spans="1:8" x14ac:dyDescent="0.35">
      <c r="A68" s="57" t="s">
        <v>232</v>
      </c>
      <c r="B68" s="57" t="s">
        <v>40</v>
      </c>
      <c r="C68" s="74" t="str">
        <f>Ratios!D117</f>
        <v>n/a</v>
      </c>
      <c r="D68" s="69">
        <f>Ratios!E117</f>
        <v>2.5429086144775632</v>
      </c>
      <c r="E68" s="69">
        <f>Ratios!F117</f>
        <v>2.7701904136572555</v>
      </c>
      <c r="F68" s="69">
        <f>Ratios!G117</f>
        <v>2.4644816053511707</v>
      </c>
      <c r="G68" s="69">
        <f>Ratios!H117</f>
        <v>2.1583704953597684</v>
      </c>
      <c r="H68" s="69">
        <f>Ratios!I117</f>
        <v>1.9622701331642358</v>
      </c>
    </row>
    <row r="69" spans="1:8" x14ac:dyDescent="0.35">
      <c r="A69" s="57" t="s">
        <v>233</v>
      </c>
      <c r="B69" s="57" t="s">
        <v>40</v>
      </c>
      <c r="C69" s="74" t="str">
        <f>Ratios!D118</f>
        <v>n/a</v>
      </c>
      <c r="D69" s="67">
        <f>Ratios!E118</f>
        <v>0.49656075990828696</v>
      </c>
      <c r="E69" s="67">
        <f>Ratios!F118</f>
        <v>0.76034143138542354</v>
      </c>
      <c r="F69" s="67">
        <f>Ratios!G118</f>
        <v>0.57096989966555178</v>
      </c>
      <c r="G69" s="67">
        <f>Ratios!H118</f>
        <v>0.52500903941183563</v>
      </c>
      <c r="H69" s="67">
        <f>Ratios!I118</f>
        <v>0.53625026421475375</v>
      </c>
    </row>
    <row r="70" spans="1:8" x14ac:dyDescent="0.35">
      <c r="A70" s="57" t="s">
        <v>234</v>
      </c>
      <c r="B70" s="57" t="s">
        <v>74</v>
      </c>
      <c r="C70" s="73">
        <f>Financials!D158</f>
        <v>8048</v>
      </c>
      <c r="D70" s="73">
        <f>Financials!E158</f>
        <v>9512</v>
      </c>
      <c r="E70" s="73">
        <f>Financials!F158</f>
        <v>9764</v>
      </c>
      <c r="F70" s="73">
        <f>Financials!G158</f>
        <v>9653</v>
      </c>
      <c r="G70" s="73">
        <f>Financials!H158</f>
        <v>10831</v>
      </c>
      <c r="H70" s="73">
        <f>Financials!I158</f>
        <v>13611</v>
      </c>
    </row>
    <row r="71" spans="1:8" x14ac:dyDescent="0.35">
      <c r="A71" s="57" t="s">
        <v>235</v>
      </c>
      <c r="B71" s="57" t="s">
        <v>74</v>
      </c>
      <c r="C71" s="73">
        <f>Financials!D165</f>
        <v>1199</v>
      </c>
      <c r="D71" s="73">
        <f>Financials!E165</f>
        <v>1255</v>
      </c>
      <c r="E71" s="73">
        <f>Financials!F165</f>
        <v>1322</v>
      </c>
      <c r="F71" s="73">
        <f>Financials!G165</f>
        <v>1502</v>
      </c>
      <c r="G71" s="73">
        <f>Financials!H165</f>
        <v>1658</v>
      </c>
      <c r="H71" s="73">
        <f>Financials!I165</f>
        <v>1813</v>
      </c>
    </row>
    <row r="72" spans="1:8" x14ac:dyDescent="0.35">
      <c r="A72" s="57" t="s">
        <v>236</v>
      </c>
      <c r="B72" s="57" t="s">
        <v>74</v>
      </c>
      <c r="C72" s="67">
        <f>Ratios!D125</f>
        <v>0.19744035785288269</v>
      </c>
      <c r="D72" s="67">
        <f>Ratios!E125</f>
        <v>0.17672413793103448</v>
      </c>
      <c r="E72" s="67">
        <f>Ratios!F125</f>
        <v>0.18537484637443671</v>
      </c>
      <c r="F72" s="67">
        <f>Ratios!G125</f>
        <v>0.20988293794675231</v>
      </c>
      <c r="G72" s="67">
        <f>Ratios!H125</f>
        <v>0.19748868987166468</v>
      </c>
      <c r="H72" s="67">
        <f>Ratios!I125</f>
        <v>0.17103813092351774</v>
      </c>
    </row>
    <row r="73" spans="1:8" x14ac:dyDescent="0.35">
      <c r="A73" s="57" t="s">
        <v>237</v>
      </c>
      <c r="B73" s="57" t="s">
        <v>74</v>
      </c>
      <c r="C73" s="67">
        <f>Ratios!D126</f>
        <v>0.14898111332007952</v>
      </c>
      <c r="D73" s="67">
        <f>Ratios!E126</f>
        <v>0.1319386038687973</v>
      </c>
      <c r="E73" s="67">
        <f>Ratios!F126</f>
        <v>0.13539532978287588</v>
      </c>
      <c r="F73" s="67">
        <f>Ratios!G126</f>
        <v>0.15559929555578578</v>
      </c>
      <c r="G73" s="67">
        <f>Ratios!H126</f>
        <v>0.1530791247345582</v>
      </c>
      <c r="H73" s="67">
        <f>Ratios!I126</f>
        <v>0.13320108735581515</v>
      </c>
    </row>
    <row r="74" spans="1:8" x14ac:dyDescent="0.35">
      <c r="A74" s="57" t="s">
        <v>238</v>
      </c>
      <c r="B74" s="57" t="s">
        <v>74</v>
      </c>
      <c r="C74" s="74" t="str">
        <f>Ratios!D127</f>
        <v>n/a</v>
      </c>
      <c r="D74" s="67">
        <f>Ratios!E127</f>
        <v>0.38099574984820889</v>
      </c>
      <c r="E74" s="67">
        <f>Ratios!F127</f>
        <v>0.36994543164964322</v>
      </c>
      <c r="F74" s="67">
        <f>Ratios!G127</f>
        <v>0.39365744987550777</v>
      </c>
      <c r="G74" s="67">
        <f>Ratios!H127</f>
        <v>0.42474702190342001</v>
      </c>
      <c r="H74" s="67">
        <f>Ratios!I127</f>
        <v>0.4430054978619426</v>
      </c>
    </row>
    <row r="75" spans="1:8" x14ac:dyDescent="0.35">
      <c r="A75" s="57" t="s">
        <v>239</v>
      </c>
      <c r="B75" s="57" t="s">
        <v>74</v>
      </c>
      <c r="C75" s="74" t="str">
        <f>Ratios!D128</f>
        <v>n/a</v>
      </c>
      <c r="D75" s="67">
        <f>Ratios!E128</f>
        <v>0.43283188176299814</v>
      </c>
      <c r="E75" s="67">
        <f>Ratios!F128</f>
        <v>0.43696866650473648</v>
      </c>
      <c r="F75" s="67">
        <f>Ratios!G128</f>
        <v>0.45853769818638074</v>
      </c>
      <c r="G75" s="67">
        <f>Ratios!H128</f>
        <v>0.48801889976375296</v>
      </c>
      <c r="H75" s="67">
        <f>Ratios!I128</f>
        <v>0.50129087779690185</v>
      </c>
    </row>
    <row r="76" spans="1:8" x14ac:dyDescent="0.35">
      <c r="A76" s="57" t="s">
        <v>240</v>
      </c>
      <c r="B76" s="57" t="s">
        <v>74</v>
      </c>
      <c r="C76" s="74" t="str">
        <f>Ratios!D129</f>
        <v>n/a</v>
      </c>
      <c r="D76" s="67">
        <f>Ratios!E129</f>
        <v>0.22606502747005314</v>
      </c>
      <c r="E76" s="67">
        <f>Ratios!F129</f>
        <v>0.21190991424220565</v>
      </c>
      <c r="F76" s="67">
        <f>Ratios!G129</f>
        <v>0.21225181940224688</v>
      </c>
      <c r="G76" s="67">
        <f>Ratios!H129</f>
        <v>0.21218326081392372</v>
      </c>
      <c r="H76" s="67">
        <f>Ratios!I129</f>
        <v>0.19895747599451302</v>
      </c>
    </row>
    <row r="77" spans="1:8" x14ac:dyDescent="0.35">
      <c r="A77" s="57" t="s">
        <v>241</v>
      </c>
      <c r="B77" s="57" t="s">
        <v>74</v>
      </c>
      <c r="C77" s="74" t="str">
        <f>Ratios!D131</f>
        <v>n/a</v>
      </c>
      <c r="D77" s="69">
        <f>Ratios!E131</f>
        <v>1.71341078987661</v>
      </c>
      <c r="E77" s="69">
        <f>Ratios!F131</f>
        <v>1.5651198204696641</v>
      </c>
      <c r="F77" s="69">
        <f>Ratios!G131</f>
        <v>1.3640924185685013</v>
      </c>
      <c r="G77" s="69">
        <f>Ratios!H131</f>
        <v>1.3861018684412594</v>
      </c>
      <c r="H77" s="69">
        <f>Ratios!I131</f>
        <v>1.4936625514403292</v>
      </c>
    </row>
    <row r="78" spans="1:8" x14ac:dyDescent="0.35">
      <c r="A78" s="57" t="s">
        <v>242</v>
      </c>
      <c r="B78" s="57" t="s">
        <v>74</v>
      </c>
      <c r="C78" s="64">
        <f>Ratios!D135</f>
        <v>17</v>
      </c>
      <c r="D78" s="64">
        <f>Ratios!E135</f>
        <v>30</v>
      </c>
      <c r="E78" s="64">
        <f>Ratios!F135</f>
        <v>20</v>
      </c>
      <c r="F78" s="64">
        <f>Ratios!G135</f>
        <v>19</v>
      </c>
      <c r="G78" s="64">
        <f>Ratios!H135</f>
        <v>33</v>
      </c>
      <c r="H78" s="64">
        <f>Ratios!I135</f>
        <v>12</v>
      </c>
    </row>
    <row r="79" spans="1:8" x14ac:dyDescent="0.35">
      <c r="A79" s="57" t="s">
        <v>243</v>
      </c>
      <c r="B79" s="57" t="s">
        <v>74</v>
      </c>
      <c r="C79" s="69">
        <f>Ratios!D137</f>
        <v>0.15771604938271605</v>
      </c>
      <c r="D79" s="69">
        <f>Ratios!E137</f>
        <v>0.1430704898446834</v>
      </c>
      <c r="E79" s="69">
        <f>Ratios!F137</f>
        <v>0.16004211634640694</v>
      </c>
      <c r="F79" s="69">
        <f>Ratios!G137</f>
        <v>0.13778705636743216</v>
      </c>
      <c r="G79" s="69">
        <f>Ratios!H137</f>
        <v>0.13937106918238995</v>
      </c>
      <c r="H79" s="69">
        <f>Ratios!I137</f>
        <v>0.1323040380047506</v>
      </c>
    </row>
    <row r="80" spans="1:8" x14ac:dyDescent="0.35">
      <c r="A80" s="57" t="s">
        <v>244</v>
      </c>
      <c r="B80" s="57" t="s">
        <v>74</v>
      </c>
      <c r="C80" s="67">
        <f>Ratios!D141</f>
        <v>0.23235586481113321</v>
      </c>
      <c r="D80" s="67">
        <f>Ratios!E141</f>
        <v>9.2935239697224559E-2</v>
      </c>
      <c r="E80" s="67">
        <f>Ratios!F141</f>
        <v>0.12668988119623106</v>
      </c>
      <c r="F80" s="67">
        <f>Ratios!G141</f>
        <v>0.12783590593597846</v>
      </c>
      <c r="G80" s="67">
        <f>Ratios!H141</f>
        <v>0.1145785246052996</v>
      </c>
      <c r="H80" s="67">
        <f>Ratios!I141</f>
        <v>0.13018881786790096</v>
      </c>
    </row>
    <row r="81" spans="1:8" x14ac:dyDescent="0.35">
      <c r="A81" s="57" t="s">
        <v>245</v>
      </c>
      <c r="B81" s="57" t="s">
        <v>74</v>
      </c>
      <c r="C81" s="74" t="str">
        <f>Ratios!D122</f>
        <v>n/a</v>
      </c>
      <c r="D81" s="67">
        <f>Ratios!E122</f>
        <v>0.18190854870775341</v>
      </c>
      <c r="E81" s="67">
        <f>Ratios!F122</f>
        <v>2.6492851135407891E-2</v>
      </c>
      <c r="F81" s="67">
        <f>Ratios!G122</f>
        <v>-1.1368291683736209E-2</v>
      </c>
      <c r="G81" s="67">
        <f>Ratios!H122</f>
        <v>0.12203460064228744</v>
      </c>
      <c r="H81" s="67">
        <f>Ratios!I122</f>
        <v>0.25667066752839074</v>
      </c>
    </row>
    <row r="82" spans="1:8" x14ac:dyDescent="0.35">
      <c r="A82" s="57" t="s">
        <v>246</v>
      </c>
      <c r="B82" s="57" t="s">
        <v>74</v>
      </c>
      <c r="C82" s="74" t="str">
        <f>Ratios!D123</f>
        <v>n/a</v>
      </c>
      <c r="D82" s="67">
        <f>Ratios!E123</f>
        <v>4.6705587989991582E-2</v>
      </c>
      <c r="E82" s="67">
        <f>Ratios!F123</f>
        <v>5.3386454183266929E-2</v>
      </c>
      <c r="F82" s="67">
        <f>Ratios!G123</f>
        <v>0.13615733736762481</v>
      </c>
      <c r="G82" s="67">
        <f>Ratios!H123</f>
        <v>0.10386151797603205</v>
      </c>
      <c r="H82" s="67">
        <f>Ratios!I123</f>
        <v>9.3486127864897517E-2</v>
      </c>
    </row>
    <row r="83" spans="1:8" x14ac:dyDescent="0.35">
      <c r="A83" s="57" t="s">
        <v>247</v>
      </c>
      <c r="B83" s="57" t="s">
        <v>74</v>
      </c>
      <c r="C83" s="67">
        <f>Ratios!D144</f>
        <v>0.14898111332007952</v>
      </c>
      <c r="D83" s="67">
        <f>Ratios!E144</f>
        <v>0.1319386038687973</v>
      </c>
      <c r="E83" s="67">
        <f>Ratios!F144</f>
        <v>0.13539532978287588</v>
      </c>
      <c r="F83" s="67">
        <f>Ratios!G144</f>
        <v>0.15559929555578578</v>
      </c>
      <c r="G83" s="67">
        <f>Ratios!H144</f>
        <v>0.1530791247345582</v>
      </c>
      <c r="H83" s="67">
        <f>Ratios!I144</f>
        <v>0.13320108735581515</v>
      </c>
    </row>
    <row r="84" spans="1:8" x14ac:dyDescent="0.35">
      <c r="A84" s="57" t="s">
        <v>248</v>
      </c>
      <c r="B84" s="57" t="s">
        <v>74</v>
      </c>
      <c r="C84" s="74" t="str">
        <f>Ratios!D145</f>
        <v>n/a</v>
      </c>
      <c r="D84" s="69">
        <f>Ratios!E145</f>
        <v>1.71341078987661</v>
      </c>
      <c r="E84" s="69">
        <f>Ratios!F145</f>
        <v>1.5651198204696641</v>
      </c>
      <c r="F84" s="69">
        <f>Ratios!G145</f>
        <v>1.3640924185685013</v>
      </c>
      <c r="G84" s="69">
        <f>Ratios!H145</f>
        <v>1.3861018684412594</v>
      </c>
      <c r="H84" s="69">
        <f>Ratios!I145</f>
        <v>1.4936625514403292</v>
      </c>
    </row>
    <row r="85" spans="1:8" x14ac:dyDescent="0.35">
      <c r="A85" s="57" t="s">
        <v>249</v>
      </c>
      <c r="B85" s="57" t="s">
        <v>74</v>
      </c>
      <c r="C85" s="74" t="str">
        <f>Ratios!D146</f>
        <v>n/a</v>
      </c>
      <c r="D85" s="69">
        <f>Ratios!E146</f>
        <v>1.6853369763205828</v>
      </c>
      <c r="E85" s="69">
        <f>Ratios!F146</f>
        <v>1.7457674548761719</v>
      </c>
      <c r="F85" s="69">
        <f>Ratios!G146</f>
        <v>1.8546717337177303</v>
      </c>
      <c r="G85" s="69">
        <f>Ratios!H146</f>
        <v>2.0017932624567694</v>
      </c>
      <c r="H85" s="69">
        <f>Ratios!I146</f>
        <v>2.2266340867440442</v>
      </c>
    </row>
    <row r="86" spans="1:8" x14ac:dyDescent="0.35">
      <c r="A86" s="57" t="s">
        <v>250</v>
      </c>
      <c r="B86" s="57" t="s">
        <v>74</v>
      </c>
      <c r="C86" s="74" t="str">
        <f>Ratios!D147</f>
        <v>n/a</v>
      </c>
      <c r="D86" s="67">
        <f>Ratios!E147</f>
        <v>0.38099574984820883</v>
      </c>
      <c r="E86" s="67">
        <f>Ratios!F147</f>
        <v>0.36994543164964327</v>
      </c>
      <c r="F86" s="67">
        <f>Ratios!G147</f>
        <v>0.39365744987550783</v>
      </c>
      <c r="G86" s="67">
        <f>Ratios!H147</f>
        <v>0.42474702190341995</v>
      </c>
      <c r="H86" s="67">
        <f>Ratios!I147</f>
        <v>0.4430054978619426</v>
      </c>
    </row>
    <row r="88" spans="1:8" x14ac:dyDescent="0.35">
      <c r="A88" s="20" t="s"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Notes</vt:lpstr>
      <vt:lpstr>Dashboard</vt:lpstr>
      <vt:lpstr>Financials</vt:lpstr>
      <vt:lpstr>Ratios</vt:lpstr>
      <vt:lpstr>Comparison</vt:lpstr>
      <vt:lpstr>Charts</vt:lpstr>
      <vt:lpstr>Calc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Akriti Kachroo</dc:creator>
  <dc:description/>
  <cp:lastModifiedBy>Akriti Kachroo</cp:lastModifiedBy>
  <cp:revision>1</cp:revision>
  <dcterms:created xsi:type="dcterms:W3CDTF">2026-09-26T08:59:34Z</dcterms:created>
  <dcterms:modified xsi:type="dcterms:W3CDTF">2026-09-26T09:25:32Z</dcterms:modified>
  <dc:language>en-US</dc:language>
</cp:coreProperties>
</file>